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3.xml" ContentType="application/vnd.openxmlformats-officedocument.spreadsheetml.comments+xml"/>
  <Override PartName="/xl/worksheets/sheet9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5b3f45ce4e46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eranda" sheetId="1" r:id="Rb79896bbe5234069"/>
    <x:sheet xmlns:r="http://schemas.openxmlformats.org/officeDocument/2006/relationships" name="Struktur_LKS" sheetId="2" r:id="R8034d56305704bcf"/>
    <x:sheet xmlns:r="http://schemas.openxmlformats.org/officeDocument/2006/relationships" name="Roadmap_20_Sesi" sheetId="3" r:id="Re522eee757924886"/>
    <x:sheet xmlns:r="http://schemas.openxmlformats.org/officeDocument/2006/relationships" name="Modul_A_Hardening" sheetId="4" r:id="R6ed2f6a2a7fa4f2c"/>
    <x:sheet xmlns:r="http://schemas.openxmlformats.org/officeDocument/2006/relationships" name="Modul_B_RedTeam" sheetId="5" r:id="R6dc82a7b80344b40"/>
    <x:sheet xmlns:r="http://schemas.openxmlformats.org/officeDocument/2006/relationships" name="Modul_C_BlueTeam" sheetId="6" r:id="Rc9e5e068da604af2"/>
    <x:sheet xmlns:r="http://schemas.openxmlformats.org/officeDocument/2006/relationships" name="Template_Intuisi" sheetId="7" r:id="R95006f00b677492e"/>
    <x:sheet xmlns:r="http://schemas.openxmlformats.org/officeDocument/2006/relationships" name="Rubrik_Asesmen" sheetId="8" r:id="Rb4211b31408c47d7"/>
    <x:sheet xmlns:r="http://schemas.openxmlformats.org/officeDocument/2006/relationships" name="Sumber_Referensi" sheetId="9" r:id="Rb56ce10540144437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B7" authorId="0">
      <x:text>
        <x:r>
          <x:t>Ubah angka ini jika Anda ingin menyesuaikan total jam program. Jam rekomendasi modul akan menghitung otomatis.</x:t>
        </x:r>
      </x:text>
    </x:comment>
  </x:commentList>
</x:comments>
</file>

<file path=xl/comments2.xml><?xml version="1.0" encoding="utf-8"?>
<x:comments xmlns:x="http://schemas.openxmlformats.org/spreadsheetml/2006/main">
  <x:authors>
    <x:author>OpenAI</x:author>
  </x:authors>
  <x:commentList>
    <x:comment ref="G4" authorId="0">
      <x:text>
        <x:r>
          <x:t>Kolom ini sengaja dibuat naratif untuk melatih intuisi siswa, bukan hanya daftar materi.</x:t>
        </x:r>
      </x:text>
    </x:comment>
  </x:commentList>
</x:comments>
</file>

<file path=xl/comments3.xml><?xml version="1.0" encoding="utf-8"?>
<x:comments xmlns:x="http://schemas.openxmlformats.org/spreadsheetml/2006/main">
  <x:authors>
    <x:author>OpenAI</x:author>
  </x:authors>
  <x:commentList>
    <x:comment ref="C5" authorId="0">
      <x:text>
        <x:r>
          <x:t>Isi 1 sampai 4. Kolom D akan menghitung nilai bobot otomatis.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"/>
  </x:numFmts>
  <x:fonts count="6">
    <x:font>
      <x:sz val="11"/>
      <x:color theme="1"/>
      <x:name val="Calibri"/>
      <x:family val="2"/>
      <x:scheme val="minor"/>
    </x:font>
    <x:font>
      <x:b/>
      <x:sz val="14"/>
      <x:color rgb="00FFFFFF"/>
    </x:font>
    <x:font>
      <x:b/>
      <x:color rgb="001F1F1F"/>
    </x:font>
    <x:font>
      <x:color rgb="001F1F1F"/>
    </x:font>
    <x:font>
      <x:color rgb="000000FF"/>
    </x:font>
    <x:font>
      <x:b/>
      <x:color rgb="00FFFFFF"/>
    </x:font>
  </x:fonts>
  <x:fills count="10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E7E6E6"/>
      </x:patternFill>
    </x:fill>
    <x:fill>
      <x:patternFill patternType="solid">
        <x:fgColor rgb="00FFF2CC"/>
      </x:patternFill>
    </x:fill>
    <x:fill>
      <x:patternFill patternType="solid">
        <x:fgColor rgb="00DDEBF7"/>
      </x:patternFill>
    </x:fill>
    <x:fill>
      <x:patternFill patternType="solid">
        <x:fgColor rgb="00D9EAF7"/>
      </x:patternFill>
    </x:fill>
    <x:fill>
      <x:patternFill patternType="solid">
        <x:fgColor rgb="00FCE4D6"/>
      </x:patternFill>
    </x:fill>
    <x:fill>
      <x:patternFill patternType="solid">
        <x:fgColor rgb="00E2F0D9"/>
      </x:patternFill>
    </x:fill>
    <x:fill>
      <x:patternFill patternType="solid">
        <x:fgColor rgb="00E4DFEC"/>
      </x:patternFill>
    </x:fill>
  </x:fills>
  <x:borders count="10">
    <x:border>
      <x:left/>
      <x:right/>
      <x:top/>
      <x:bottom/>
      <x:diagonal/>
    </x:border>
    <x:border>
      <x:top style="medium">
        <x:color rgb="001F4E78"/>
      </x:top>
      <x:bottom style="medium">
        <x:color rgb="001F4E78"/>
      </x:bottom>
    </x:border>
    <x:border>
      <x:left style="thin">
        <x:color rgb="00BFBFBF"/>
      </x:left>
      <x:right style="thin">
        <x:color rgb="00BFBFBF"/>
      </x:right>
      <x:top style="thin">
        <x:color rgb="00BFBFBF"/>
      </x:top>
      <x:bottom style="thin">
        <x:color rgb="00BFBFBF"/>
      </x:bottom>
    </x:border>
    <x:border>
      <x:left/>
      <x:right/>
      <x:top style="thin">
        <x:color rgb="00BFBFBF"/>
      </x:top>
      <x:bottom/>
      <x:diagonal/>
    </x:border>
    <x:border>
      <x:left/>
      <x:right style="thin">
        <x:color rgb="00BFBFBF"/>
      </x:right>
      <x:top style="thin">
        <x:color rgb="00BFBFBF"/>
      </x:top>
      <x:bottom/>
      <x:diagonal/>
    </x:border>
    <x:border>
      <x:left/>
      <x:right/>
      <x:top style="thin">
        <x:color rgb="00BFBFBF"/>
      </x:top>
      <x:bottom style="thin">
        <x:color rgb="00BFBFBF"/>
      </x:bottom>
      <x:diagonal/>
    </x:border>
    <x:border>
      <x:left/>
      <x:right style="thin">
        <x:color rgb="00BFBFBF"/>
      </x:right>
      <x:top style="thin">
        <x:color rgb="00BFBFBF"/>
      </x:top>
      <x:bottom style="thin">
        <x:color rgb="00BFBFBF"/>
      </x:bottom>
      <x:diagonal/>
    </x:border>
    <x:border>
      <x:left/>
      <x:right/>
      <x:top style="medium">
        <x:color rgb="001F4E78"/>
      </x:top>
      <x:bottom/>
      <x:diagonal/>
    </x:border>
    <x:border>
      <x:left/>
      <x:right/>
      <x:top style="medium">
        <x:color rgb="001F4E78"/>
      </x:top>
      <x:bottom style="medium">
        <x:color rgb="001F4E78"/>
      </x:bottom>
      <x:diagonal/>
    </x:border>
    <x:border>
      <x:right/>
      <x:top style="medium">
        <x:color rgb="001F4E78"/>
      </x:top>
      <x:bottom style="medium">
        <x:color rgb="001F4E78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2" borderId="1" xfId="0" applyAlignment="1">
      <x:alignment horizontal="center" vertical="center"/>
    </x:xf>
    <x:xf numFmtId="0" fontId="0" fillId="0" borderId="1" xfId="0"/>
    <x:xf numFmtId="0" fontId="2" fillId="3" borderId="2" xfId="0" applyAlignment="1">
      <x:alignment horizontal="left" vertical="center" wrapText="1"/>
    </x:xf>
    <x:xf numFmtId="0" fontId="2" fillId="4" borderId="2" xfId="0" applyAlignment="1">
      <x:alignment horizontal="left" vertical="top" wrapText="1"/>
    </x:xf>
    <x:xf numFmtId="0" fontId="3" fillId="5" borderId="2" xfId="0" applyAlignment="1">
      <x:alignment horizontal="left" vertical="top" wrapText="1"/>
    </x:xf>
    <x:xf numFmtId="0" fontId="4" fillId="6" borderId="2" xfId="0" applyAlignment="1">
      <x:alignment horizontal="center" vertical="top" wrapText="1"/>
    </x:xf>
    <x:xf numFmtId="0" fontId="5" fillId="2" borderId="2" xfId="0" applyAlignment="1">
      <x:alignment horizontal="center" vertical="center" wrapText="1"/>
    </x:xf>
    <x:xf numFmtId="0" fontId="3" fillId="6" borderId="2" xfId="0" applyAlignment="1">
      <x:alignment horizontal="center" vertical="top" wrapText="1"/>
    </x:xf>
    <x:xf numFmtId="0" fontId="2" fillId="6" borderId="2" xfId="0" applyAlignment="1">
      <x:alignment horizontal="center" vertical="top" wrapText="1"/>
    </x:xf>
    <x:xf numFmtId="0" fontId="3" fillId="6" borderId="2" xfId="0" applyAlignment="1">
      <x:alignment horizontal="left" vertical="top" wrapText="1"/>
    </x:xf>
    <x:xf numFmtId="9" fontId="3" fillId="0" borderId="2" xfId="0" applyAlignment="1">
      <x:alignment horizontal="center" vertical="top" wrapText="1"/>
    </x:xf>
    <x:xf numFmtId="0" fontId="3" fillId="0" borderId="2" xfId="0" applyAlignment="1">
      <x:alignment horizontal="center" vertical="top" wrapText="1"/>
    </x:xf>
    <x:xf numFmtId="0" fontId="2" fillId="7" borderId="2" xfId="0" applyAlignment="1">
      <x:alignment horizontal="center" vertical="top" wrapText="1"/>
    </x:xf>
    <x:xf numFmtId="0" fontId="3" fillId="7" borderId="2" xfId="0" applyAlignment="1">
      <x:alignment horizontal="left" vertical="top" wrapText="1"/>
    </x:xf>
    <x:xf numFmtId="9" fontId="4" fillId="6" borderId="2" xfId="0" applyAlignment="1">
      <x:alignment horizontal="center" vertical="top" wrapText="1"/>
    </x:xf>
    <x:xf numFmtId="0" fontId="2" fillId="8" borderId="2" xfId="0" applyAlignment="1">
      <x:alignment horizontal="center" vertical="top" wrapText="1"/>
    </x:xf>
    <x:xf numFmtId="0" fontId="3" fillId="8" borderId="2" xfId="0" applyAlignment="1">
      <x:alignment horizontal="left" vertical="top" wrapText="1"/>
    </x:xf>
    <x:xf numFmtId="0" fontId="2" fillId="3" borderId="2" xfId="0" applyAlignment="1">
      <x:alignment horizontal="left" vertical="top" wrapText="1"/>
    </x:xf>
    <x:xf numFmtId="0" fontId="2" fillId="3" borderId="2" xfId="0" applyAlignment="1">
      <x:alignment horizontal="center" vertical="top" wrapText="1"/>
    </x:xf>
    <x:xf numFmtId="164" fontId="2" fillId="3" borderId="2" xfId="0" applyAlignment="1">
      <x:alignment horizontal="center" vertical="top" wrapText="1"/>
    </x:xf>
    <x:xf numFmtId="0" fontId="2" fillId="9" borderId="2" xfId="0" applyAlignment="1">
      <x:alignment horizontal="left" vertical="center" wrapText="1"/>
    </x:xf>
    <x:xf numFmtId="0" fontId="3" fillId="9" borderId="2" xfId="0" applyAlignment="1">
      <x:alignment horizontal="left" vertical="top" wrapText="1"/>
    </x:xf>
    <x:xf numFmtId="0" fontId="3" fillId="0" borderId="2" xfId="0" applyAlignment="1">
      <x:alignment horizontal="left" vertical="top" wrapText="1"/>
    </x:xf>
    <x:xf numFmtId="0" fontId="3" fillId="7" borderId="2" xfId="0" applyAlignment="1">
      <x:alignment horizontal="center" vertical="top" wrapText="1"/>
    </x:xf>
    <x:xf numFmtId="0" fontId="3" fillId="8" borderId="2" xfId="0" applyAlignment="1">
      <x:alignment horizontal="center" vertical="top" wrapText="1"/>
    </x:xf>
    <x:xf numFmtId="0" fontId="2" fillId="7" borderId="2" xfId="0" applyAlignment="1">
      <x:alignment horizontal="left" vertical="top" wrapText="1"/>
    </x:xf>
    <x:xf numFmtId="0" fontId="2" fillId="8" borderId="2" xfId="0" applyAlignment="1">
      <x:alignment horizontal="left" vertical="top" wrapText="1"/>
    </x:xf>
    <x:xf numFmtId="0" fontId="2" fillId="6" borderId="2" xfId="0" applyAlignment="1">
      <x:alignment horizontal="left" vertical="center" wrapText="1"/>
    </x:xf>
    <x:xf numFmtId="0" fontId="2" fillId="6" borderId="2" xfId="0" applyAlignment="1">
      <x:alignment horizontal="left" vertical="top" wrapText="1"/>
    </x:xf>
    <x:xf numFmtId="0" fontId="4" fillId="4" borderId="2" xfId="0" applyAlignment="1">
      <x:alignment horizontal="center" vertical="top" wrapText="1"/>
    </x:xf>
    <x:xf numFmtId="0" fontId="4" fillId="4" borderId="2" xfId="0" applyAlignment="1">
      <x:alignment horizontal="left" vertical="top" wrapText="1"/>
    </x:xf>
    <x:xf numFmtId="0" fontId="2" fillId="0" borderId="2" xfId="0" applyAlignment="1">
      <x:alignment horizontal="center" vertical="top" wrapText="1"/>
    </x:xf>
    <x:xf numFmtId="0" fontId="0" fillId="0" borderId="8" xfId="0"/>
    <x:xf numFmtId="0" fontId="0" fillId="0" borderId="5" xfId="0"/>
    <x:xf numFmtId="0" fontId="0" fillId="0" borderId="6" xfId="0"/>
    <x:xf numFmtId="0" fontId="1" fillId="2" borderId="9" xfId="0" applyAlignment="1">
      <x:alignment horizontal="center" vertical="center"/>
    </x:xf>
    <x:xf numFmtId="9" fontId="2" fillId="3" borderId="2" xfId="0" applyAlignment="1">
      <x:alignment horizontal="center"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8d2f3d7c654c3c" /><Relationship Type="http://schemas.openxmlformats.org/officeDocument/2006/relationships/theme" Target="/xl/theme/theme1.xml" Id="Rd9f580120f0d4a0b" /><Relationship Type="http://schemas.openxmlformats.org/officeDocument/2006/relationships/sharedStrings" Target="/xl/sharedStrings.xml" Id="R1f99e707a6f14892" /><Relationship Type="http://schemas.openxmlformats.org/officeDocument/2006/relationships/worksheet" Target="/xl/worksheets/sheet1.xml" Id="Rb79896bbe5234069" /><Relationship Type="http://schemas.openxmlformats.org/officeDocument/2006/relationships/worksheet" Target="/xl/worksheets/sheet2.xml" Id="R8034d56305704bcf" /><Relationship Type="http://schemas.openxmlformats.org/officeDocument/2006/relationships/worksheet" Target="/xl/worksheets/sheet3.xml" Id="Re522eee757924886" /><Relationship Type="http://schemas.openxmlformats.org/officeDocument/2006/relationships/worksheet" Target="/xl/worksheets/sheet4.xml" Id="R6ed2f6a2a7fa4f2c" /><Relationship Type="http://schemas.openxmlformats.org/officeDocument/2006/relationships/worksheet" Target="/xl/worksheets/sheet5.xml" Id="R6dc82a7b80344b40" /><Relationship Type="http://schemas.openxmlformats.org/officeDocument/2006/relationships/worksheet" Target="/xl/worksheets/sheet6.xml" Id="Rc9e5e068da604af2" /><Relationship Type="http://schemas.openxmlformats.org/officeDocument/2006/relationships/worksheet" Target="/xl/worksheets/sheet7.xml" Id="R95006f00b677492e" /><Relationship Type="http://schemas.openxmlformats.org/officeDocument/2006/relationships/worksheet" Target="/xl/worksheets/sheet8.xml" Id="Rb4211b31408c47d7" /><Relationship Type="http://schemas.openxmlformats.org/officeDocument/2006/relationships/worksheet" Target="/xl/worksheets/sheet9.xml" Id="Rb56ce10540144437" /><Relationship Type="http://schemas.microsoft.com/office/2017/10/relationships/person" Target="/xl/persons/person.xml" Id="R35cfc382bd204767" /></Relationships>
</file>

<file path=xl/persons/person.xml><?xml version="1.0" encoding="utf-8"?>
<xltc:personList xmlns:xltc="http://schemas.microsoft.com/office/spreadsheetml/2018/threadedcomments">
  <xltc:person displayName="OpenAI" id="{90797B5E-A40B-B7BE-ADC1-79EC12669693}"/>
  <xltc:person displayName="OpenAI" id="{6C55414F-1E76-5549-9A22-445BBA28FF53}"/>
  <xltc:person displayName="OpenAI" id="{178B8A8A-D448-D733-25CF-19FF287E49E4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6c6e56cf8d974854" /><Relationship Type="http://schemas.openxmlformats.org/officeDocument/2006/relationships/vmlDrawing" Target="/xl/drawings/vmldrawing.vml" Id="Rab8098f3cd5541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68297d0b559f4cce" /><Relationship Type="http://schemas.openxmlformats.org/officeDocument/2006/relationships/vmlDrawing" Target="/xl/drawings/vmldrawing2.vml" Id="R2614956799644dd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comments" Target="/xl/comments3.xml" Id="R2af845ccf942420a" /><Relationship Type="http://schemas.openxmlformats.org/officeDocument/2006/relationships/vmlDrawing" Target="/xl/drawings/vmldrawing3.vml" Id="Re19402161c3047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16" customWidth="1"/>
    <x:col min="3" max="3" width="16" customWidth="1"/>
    <x:col min="4" max="4" width="16" customWidth="1"/>
    <x:col min="5" max="5" width="4" customWidth="1"/>
    <x:col min="6" max="6" width="10" customWidth="1"/>
    <x:col min="7" max="7" width="30" customWidth="1"/>
    <x:col min="8" max="8" width="10" customWidth="1"/>
    <x:col min="9" max="9" width="14" customWidth="1"/>
    <x:col min="10" max="10" width="12" customWidth="1"/>
    <x:col min="11" max="11" width="10" customWidth="1"/>
  </x:cols>
  <x:sheetData>
    <x:row r="1" ht="26" customHeight="1">
      <x:c r="A1" s="36" t="inlineStr">
        <x:is>
          <x:t xml:space="preserve">Modul Ajar Spreadsheet | TM Jateng - LKS Cyber Security 2026</x:t>
        </x:is>
      </x:c>
      <x:c r="B1" s="33" t="n"/>
      <x:c r="C1" s="33" t="n"/>
      <x:c r="D1" s="33" t="n"/>
      <x:c r="E1" s="33" t="n"/>
      <x:c r="F1" s="33" t="n"/>
      <x:c r="G1" s="33" t="n"/>
      <x:c r="H1" s="33" t="n"/>
      <x:c r="I1" s="33" t="n"/>
      <x:c r="J1" s="33" t="n"/>
      <x:c r="K1" s="33" t="n"/>
    </x:row>
    <x:row r="2" ht="22" customHeight="1"/>
    <x:row r="3" ht="28" customHeight="1">
      <x:c r="A3" s="3" t="inlineStr">
        <x:is>
          <x:t xml:space="preserve">Goal Program</x:t>
        </x:is>
      </x:c>
      <x:c r="B3" s="4" t="inlineStr">
        <x:is>
          <x:t xml:space="preserve">Membentuk siswa yang punya wawasan mendalam, intuisi teknis, dan narasi pemecahan soal yang rapi untuk menghadapi TM Jateng - LKS Cyber Security 2026.</x:t>
        </x:is>
      </x:c>
      <x:c r="C3" s="34" t="n"/>
      <x:c r="D3" s="34" t="n"/>
      <x:c r="E3" s="34" t="n"/>
      <x:c r="F3" s="34" t="n"/>
      <x:c r="G3" s="34" t="n"/>
      <x:c r="H3" s="34" t="n"/>
      <x:c r="I3" s="34" t="n"/>
      <x:c r="J3" s="34" t="n"/>
      <x:c r="K3" s="35" t="n"/>
    </x:row>
    <x:row r="4" ht="28" customHeight="1">
      <x:c r="A4" s="3" t="inlineStr">
        <x:is>
          <x:t xml:space="preserve">Prinsip Desain</x:t>
        </x:is>
      </x:c>
      <x:c r="B4" s="5" t="inlineStr">
        <x:is>
          <x:t xml:space="preserve">Belajar sistematis, manual, berbasis bukti, fokus verifikasi, dan selalu menulis catatan langkah agar siswa tidak sekadar menebak.</x:t>
        </x:is>
      </x:c>
      <x:c r="C4" s="34" t="n"/>
      <x:c r="D4" s="34" t="n"/>
      <x:c r="E4" s="34" t="n"/>
      <x:c r="F4" s="34" t="n"/>
      <x:c r="G4" s="34" t="n"/>
      <x:c r="H4" s="34" t="n"/>
      <x:c r="I4" s="34" t="n"/>
      <x:c r="J4" s="34" t="n"/>
      <x:c r="K4" s="35" t="n"/>
    </x:row>
    <x:row r="5" ht="22" customHeight="1"/>
    <x:row r="6" ht="22" customHeight="1">
      <x:c r="A6" s="36" t="inlineStr">
        <x:is>
          <x:t xml:space="preserve">Kontrol Program</x:t>
        </x:is>
      </x:c>
      <x:c r="B6" s="33" t="n"/>
      <x:c r="C6" s="33" t="n"/>
      <x:c r="D6" s="33" t="n"/>
      <x:c r="F6" s="36" t="inlineStr">
        <x:is>
          <x:t xml:space="preserve">Ringkasan Otomatis</x:t>
        </x:is>
      </x:c>
      <x:c r="G6" s="33" t="n"/>
      <x:c r="H6" s="33" t="n"/>
      <x:c r="I6" s="33" t="n"/>
      <x:c r="J6" s="33" t="n"/>
      <x:c r="K6" s="33" t="n"/>
    </x:row>
    <x:row r="7" ht="22" customHeight="1">
      <x:c r="A7" s="3" t="inlineStr">
        <x:is>
          <x:t xml:space="preserve">Total target jam latihan</x:t>
        </x:is>
      </x:c>
      <x:c r="B7" s="6" t="n">
        <x:v>60</x:v>
      </x:c>
      <x:c r="F7" s="7" t="inlineStr">
        <x:is>
          <x:t xml:space="preserve">Modul</x:t>
        </x:is>
      </x:c>
      <x:c r="G7" s="7" t="inlineStr">
        <x:is>
          <x:t xml:space="preserve">Fokus</x:t>
        </x:is>
      </x:c>
      <x:c r="H7" s="7" t="inlineStr">
        <x:is>
          <x:t xml:space="preserve">Bobot</x:t>
        </x:is>
      </x:c>
      <x:c r="I7" s="7" t="inlineStr">
        <x:is>
          <x:t xml:space="preserve">Jam rekomendasi</x:t>
        </x:is>
      </x:c>
      <x:c r="J7" s="7" t="inlineStr">
        <x:is>
          <x:t xml:space="preserve">Jam rencana</x:t>
        </x:is>
      </x:c>
      <x:c r="K7" s="7" t="inlineStr">
        <x:is>
          <x:t xml:space="preserve">Gap</x:t>
        </x:is>
      </x:c>
    </x:row>
    <x:row r="8" ht="22" customHeight="1">
      <x:c r="A8" s="3" t="inlineStr">
        <x:is>
          <x:t xml:space="preserve">Jumlah sesi</x:t>
        </x:is>
      </x:c>
      <x:c r="B8" s="8">
        <x:f>SUMPRODUCT(--(Roadmap_20_Sesi!$B$4:$B$23&lt;&gt;""))</x:f>
        <x:v>20</x:v>
      </x:c>
      <x:c r="F8" s="9" t="inlineStr">
        <x:is>
          <x:t xml:space="preserve">A</x:t>
        </x:is>
      </x:c>
      <x:c r="G8" s="10" t="inlineStr">
        <x:is>
          <x:t xml:space="preserve">Linux Hardening dan verifikasi</x:t>
        </x:is>
      </x:c>
      <x:c r="H8" s="11">
        <x:f>B10</x:f>
        <x:v>0.2</x:v>
      </x:c>
      <x:c r="I8" s="12">
        <x:f>$B$7*H8</x:f>
        <x:v>12</x:v>
      </x:c>
      <x:c r="J8" s="12">
        <x:f>SUMIF(Roadmap_20_Sesi!$B:$B,"A",Roadmap_20_Sesi!$E:$E)</x:f>
        <x:v>12</x:v>
      </x:c>
      <x:c r="K8" s="12">
        <x:f>J8-I8</x:f>
        <x:v>0</x:v>
      </x:c>
    </x:row>
    <x:row r="9" ht="22" customHeight="1">
      <x:c r="A9" s="3" t="inlineStr">
        <x:is>
          <x:t xml:space="preserve">Target kesiapan minimal</x:t>
        </x:is>
      </x:c>
      <x:c r="B9" s="6" t="n">
        <x:v>85</x:v>
      </x:c>
      <x:c r="F9" s="13" t="inlineStr">
        <x:is>
          <x:t xml:space="preserve">B</x:t>
        </x:is>
      </x:c>
      <x:c r="G9" s="14" t="inlineStr">
        <x:is>
          <x:t xml:space="preserve">Red Team / Jeopardy offensive</x:t>
        </x:is>
      </x:c>
      <x:c r="H9" s="11">
        <x:f>B11</x:f>
        <x:v>0.4</x:v>
      </x:c>
      <x:c r="I9" s="12">
        <x:f>$B$7*H9</x:f>
        <x:v>24</x:v>
      </x:c>
      <x:c r="J9" s="12">
        <x:f>SUMIF(Roadmap_20_Sesi!$B:$B,"B",Roadmap_20_Sesi!$E:$E)</x:f>
        <x:v>24</x:v>
      </x:c>
      <x:c r="K9" s="12">
        <x:f>J9-I9</x:f>
        <x:v>0</x:v>
      </x:c>
    </x:row>
    <x:row r="10" ht="22" customHeight="1">
      <x:c r="A10" s="3" t="inlineStr">
        <x:is>
          <x:t xml:space="preserve">Bobot Modul A</x:t>
        </x:is>
      </x:c>
      <x:c r="B10" s="15" t="n">
        <x:v>0.2</x:v>
      </x:c>
      <x:c r="F10" s="16" t="inlineStr">
        <x:is>
          <x:t xml:space="preserve">C</x:t>
        </x:is>
      </x:c>
      <x:c r="G10" s="17" t="inlineStr">
        <x:is>
          <x:t xml:space="preserve">Blue Team / Jeopardy defensive</x:t>
        </x:is>
      </x:c>
      <x:c r="H10" s="11">
        <x:f>B12</x:f>
        <x:v>0.4</x:v>
      </x:c>
      <x:c r="I10" s="12">
        <x:f>$B$7*H10</x:f>
        <x:v>24</x:v>
      </x:c>
      <x:c r="J10" s="12">
        <x:f>SUMIF(Roadmap_20_Sesi!$B:$B,"C",Roadmap_20_Sesi!$E:$E)</x:f>
        <x:v>24</x:v>
      </x:c>
      <x:c r="K10" s="12">
        <x:f>J10-I10</x:f>
        <x:v>0</x:v>
      </x:c>
    </x:row>
    <x:row r="11" ht="22" customHeight="1">
      <x:c r="A11" s="3" t="inlineStr">
        <x:is>
          <x:t xml:space="preserve">Bobot Modul B</x:t>
        </x:is>
      </x:c>
      <x:c r="B11" s="15" t="n">
        <x:v>0.4</x:v>
      </x:c>
    </x:row>
    <x:row r="12" ht="22" customHeight="1">
      <x:c r="A12" s="3" t="inlineStr">
        <x:is>
          <x:t xml:space="preserve">Bobot Modul C</x:t>
        </x:is>
      </x:c>
      <x:c r="B12" s="15" t="n">
        <x:v>0.4</x:v>
      </x:c>
      <x:c r="F12" s="18" t="inlineStr">
        <x:is>
          <x:t xml:space="preserve">Total</x:t>
        </x:is>
      </x:c>
      <x:c r="G12" s="18" t="inlineStr">
        <x:is>
          <x:t xml:space="preserve"/>
        </x:is>
      </x:c>
      <x:c r="H12" s="37">
        <x:f>SUM(H8:H10)</x:f>
        <x:v>1</x:v>
      </x:c>
      <x:c r="I12" s="20">
        <x:f>SUM(I8:I10)</x:f>
        <x:v>60</x:v>
      </x:c>
      <x:c r="J12" s="20">
        <x:f>SUM(J8:J10)</x:f>
        <x:v>60</x:v>
      </x:c>
      <x:c r="K12" s="20">
        <x:f>SUM(K8:K10)</x:f>
        <x:v>0</x:v>
      </x:c>
    </x:row>
    <x:row r="13" ht="22" customHeight="1"/>
    <x:row r="14" ht="22" customHeight="1">
      <x:c r="A14" s="21" t="inlineStr">
        <x:is>
          <x:t xml:space="preserve">Target akhir siswa</x:t>
        </x:is>
      </x:c>
      <x:c r="B14" s="22" t="inlineStr">
        <x:is>
          <x:t xml:space="preserve">Mampu menyelesaikan hardening secara manual, memecah challenge dengan intuisi yang terarah, dan menulis writeup yang kuat.</x:t>
        </x:is>
      </x:c>
      <x:c r="C14" s="34" t="n"/>
      <x:c r="D14" s="34" t="n"/>
      <x:c r="E14" s="34" t="n"/>
      <x:c r="F14" s="34" t="n"/>
      <x:c r="G14" s="34" t="n"/>
      <x:c r="H14" s="34" t="n"/>
      <x:c r="I14" s="34" t="n"/>
      <x:c r="J14" s="34" t="n"/>
      <x:c r="K14" s="35" t="n"/>
    </x:row>
    <x:row r="15" ht="22" customHeight="1">
      <x:c r="A15" s="21" t="inlineStr">
        <x:is>
          <x:t xml:space="preserve">Sinyal kesiapan</x:t>
        </x:is>
      </x:c>
      <x:c r="B15" s="22" t="inlineStr">
        <x:is>
          <x:t xml:space="preserve">Bisa menjawab: ini tipe soal apa, mulai dari mana, bukti apa yang dicari, dan bagaimana memverifikasi hasil.</x:t>
        </x:is>
      </x:c>
      <x:c r="C15" s="34" t="n"/>
      <x:c r="D15" s="34" t="n"/>
      <x:c r="E15" s="34" t="n"/>
      <x:c r="F15" s="34" t="n"/>
      <x:c r="G15" s="34" t="n"/>
      <x:c r="H15" s="34" t="n"/>
      <x:c r="I15" s="34" t="n"/>
      <x:c r="J15" s="34" t="n"/>
      <x:c r="K15" s="35" t="n"/>
    </x:row>
    <x:row r="16" ht="22" customHeight="1">
      <x:c r="A16" s="21" t="inlineStr">
        <x:is>
          <x:t xml:space="preserve">Output kelas</x:t>
        </x:is>
      </x:c>
      <x:c r="B16" s="22" t="inlineStr">
        <x:is>
          <x:t xml:space="preserve">Checklist hardening, catatan hipotesis, bukti verifikasi, writeup, dan simulasi 2 jam hingga 3 jam.</x:t>
        </x:is>
      </x:c>
      <x:c r="C16" s="34" t="n"/>
      <x:c r="D16" s="34" t="n"/>
      <x:c r="E16" s="34" t="n"/>
      <x:c r="F16" s="34" t="n"/>
      <x:c r="G16" s="34" t="n"/>
      <x:c r="H16" s="34" t="n"/>
      <x:c r="I16" s="34" t="n"/>
      <x:c r="J16" s="34" t="n"/>
      <x:c r="K16" s="35" t="n"/>
    </x:row>
  </x:sheetData>
  <x:mergeCells>
    <x:mergeCell ref="B14:K14"/>
    <x:mergeCell ref="A6:D6"/>
    <x:mergeCell ref="B4:K4"/>
    <x:mergeCell ref="F6:K6"/>
    <x:mergeCell ref="B15:K15"/>
    <x:mergeCell ref="B16:K16"/>
    <x:mergeCell ref="A1:K1"/>
    <x:mergeCell ref="B3:K3"/>
  </x:mergeCells>
  <x:pageMargins left="0.7" right="0.7" top="0.75" bottom="0.75" header="0.3" footer="0.3"/>
  <x:legacyDrawing xmlns:r="http://schemas.openxmlformats.org/officeDocument/2006/relationships" r:id="Rab8098f3cd55412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8" customWidth="1"/>
    <x:col min="3" max="3" width="24" customWidth="1"/>
    <x:col min="4" max="4" width="28" customWidth="1"/>
    <x:col min="5" max="5" width="26" customWidth="1"/>
    <x:col min="6" max="6" width="18" customWidth="1"/>
    <x:col min="7" max="7" width="28" customWidth="1"/>
    <x:col min="8" max="8" width="22" customWidth="1"/>
  </x:cols>
  <x:sheetData>
    <x:row r="1" ht="26" customHeight="1">
      <x:c r="A1" s="36" t="inlineStr">
        <x:is>
          <x:t xml:space="preserve">Struktur Kompetisi dan Aturan Kerja</x:t>
        </x:is>
      </x:c>
      <x:c r="B1" s="33" t="n"/>
      <x:c r="C1" s="33" t="n"/>
      <x:c r="D1" s="33" t="n"/>
      <x:c r="E1" s="33" t="n"/>
      <x:c r="F1" s="33" t="n"/>
      <x:c r="G1" s="33" t="n"/>
      <x:c r="H1" s="33" t="n"/>
    </x:row>
    <x:row r="2" ht="22" customHeight="1"/>
    <x:row r="3" ht="22" customHeight="1">
      <x:c r="A3" s="7" t="inlineStr">
        <x:is>
          <x:t xml:space="preserve">Modul</x:t>
        </x:is>
      </x:c>
      <x:c r="B3" s="7" t="inlineStr">
        <x:is>
          <x:t xml:space="preserve">Waktu lomba</x:t>
        </x:is>
      </x:c>
      <x:c r="C3" s="7" t="inlineStr">
        <x:is>
          <x:t xml:space="preserve">Durasi</x:t>
        </x:is>
      </x:c>
      <x:c r="D3" s="7" t="inlineStr">
        <x:is>
          <x:t xml:space="preserve">Fokus</x:t>
        </x:is>
      </x:c>
      <x:c r="E3" s="7" t="inlineStr">
        <x:is>
          <x:t xml:space="preserve">Bobot</x:t>
        </x:is>
      </x:c>
      <x:c r="F3" s="7" t="inlineStr">
        <x:is>
          <x:t xml:space="preserve">Aturan kunci</x:t>
        </x:is>
      </x:c>
      <x:c r="G3" s="7" t="inlineStr">
        <x:is>
          <x:t xml:space="preserve">Output penilaian</x:t>
        </x:is>
      </x:c>
      <x:c r="H3" s="7" t="inlineStr">
        <x:is>
          <x:t xml:space="preserve">Catatan kelas</x:t>
        </x:is>
      </x:c>
    </x:row>
    <x:row r="4" ht="30" customHeight="1">
      <x:c r="A4" s="9" t="inlineStr">
        <x:is>
          <x:t xml:space="preserve">A</x:t>
        </x:is>
      </x:c>
      <x:c r="B4" s="23" t="inlineStr">
        <x:is>
          <x:t xml:space="preserve">Selasa 14 April 2026 | 10.00 - 12.00</x:t>
        </x:is>
      </x:c>
      <x:c r="C4" s="12" t="inlineStr">
        <x:is>
          <x:t xml:space="preserve">2 jam</x:t>
        </x:is>
      </x:c>
      <x:c r="D4" s="10" t="inlineStr">
        <x:is>
          <x:t xml:space="preserve">OS Hardening Linux</x:t>
        </x:is>
      </x:c>
      <x:c r="E4" s="8" t="inlineStr">
        <x:is>
          <x:t xml:space="preserve">20%</x:t>
        </x:is>
      </x:c>
      <x:c r="F4" s="23" t="inlineStr">
        <x:is>
          <x:t xml:space="preserve">No internet, manual, jangan blok SSH, jangan reboot, jangan pakai script otomatis</x:t>
        </x:is>
      </x:c>
      <x:c r="G4" s="23" t="inlineStr">
        <x:is>
          <x:t xml:space="preserve">Konfigurasi aman + verifikasi</x:t>
        </x:is>
      </x:c>
      <x:c r="H4" s="23" t="inlineStr">
        <x:is>
          <x:t xml:space="preserve">Siswa harus belajar audit cepat, perubahan aman, dan cek ulang layanan</x:t>
        </x:is>
      </x:c>
    </x:row>
    <x:row r="5" ht="30" customHeight="1">
      <x:c r="A5" s="13" t="inlineStr">
        <x:is>
          <x:t xml:space="preserve">B</x:t>
        </x:is>
      </x:c>
      <x:c r="B5" s="23" t="inlineStr">
        <x:is>
          <x:t xml:space="preserve">Selasa 14 April 2026 | 13.00 - 16.00</x:t>
        </x:is>
      </x:c>
      <x:c r="C5" s="12" t="inlineStr">
        <x:is>
          <x:t xml:space="preserve">3 jam</x:t>
        </x:is>
      </x:c>
      <x:c r="D5" s="14" t="inlineStr">
        <x:is>
          <x:t xml:space="preserve">Jeopardy Red Team</x:t>
        </x:is>
      </x:c>
      <x:c r="E5" s="24" t="inlineStr">
        <x:is>
          <x:t xml:space="preserve">40%</x:t>
        </x:is>
      </x:c>
      <x:c r="F5" s="23" t="inlineStr">
        <x:is>
          <x:t xml:space="preserve">No AI, kerja per tim, kumpulkan writeup detail</x:t>
        </x:is>
      </x:c>
      <x:c r="G5" s="23" t="inlineStr">
        <x:is>
          <x:t xml:space="preserve">Flag + POC + writeup</x:t>
        </x:is>
      </x:c>
      <x:c r="H5" s="23" t="inlineStr">
        <x:is>
          <x:t xml:space="preserve">Latih kategorisasi, intuisi awal, eksperimen kecil, dan writeup</x:t>
        </x:is>
      </x:c>
    </x:row>
    <x:row r="6" ht="30" customHeight="1">
      <x:c r="A6" s="16" t="inlineStr">
        <x:is>
          <x:t xml:space="preserve">C</x:t>
        </x:is>
      </x:c>
      <x:c r="B6" s="23" t="inlineStr">
        <x:is>
          <x:t xml:space="preserve">Rabu 15 April 2026 | 09.00 - 12.00</x:t>
        </x:is>
      </x:c>
      <x:c r="C6" s="12" t="inlineStr">
        <x:is>
          <x:t xml:space="preserve">3 jam</x:t>
        </x:is>
      </x:c>
      <x:c r="D6" s="17" t="inlineStr">
        <x:is>
          <x:t xml:space="preserve">Jeopardy Blue Team</x:t>
        </x:is>
      </x:c>
      <x:c r="E6" s="25" t="inlineStr">
        <x:is>
          <x:t xml:space="preserve">40%</x:t>
        </x:is>
      </x:c>
      <x:c r="F6" s="23" t="inlineStr">
        <x:is>
          <x:t xml:space="preserve">No AI, kerja per tim, poin statis</x:t>
        </x:is>
      </x:c>
      <x:c r="G6" s="23" t="inlineStr">
        <x:is>
          <x:t xml:space="preserve">Flag + POC + writeup</x:t>
        </x:is>
      </x:c>
      <x:c r="H6" s="23" t="inlineStr">
        <x:is>
          <x:t xml:space="preserve">Fokus reverse, forensic, SOC, dan korelasi bukti</x:t>
        </x:is>
      </x:c>
    </x:row>
    <x:row r="7" ht="30" customHeight="1"/>
    <x:row r="8" ht="30" customHeight="1"/>
    <x:row r="9" ht="30" customHeight="1">
      <x:c r="A9" s="3" t="inlineStr">
        <x:is>
          <x:t xml:space="preserve">Fakta penting</x:t>
        </x:is>
      </x:c>
    </x:row>
    <x:row r="10" ht="30" customHeight="1">
      <x:c r="A10" s="12" t="n">
        <x:v>1</x:v>
      </x:c>
      <x:c r="B10" s="23" t="inlineStr">
        <x:is>
          <x:t xml:space="preserve">Jumlah soal per kategori untuk Modul B dan C adalah 2 soal.</x:t>
        </x:is>
      </x:c>
      <x:c r="C10" s="34" t="n"/>
      <x:c r="D10" s="34" t="n"/>
      <x:c r="E10" s="34" t="n"/>
      <x:c r="F10" s="34" t="n"/>
      <x:c r="G10" s="34" t="n"/>
      <x:c r="H10" s="35" t="n"/>
    </x:row>
    <x:row r="11" ht="30" customHeight="1">
      <x:c r="A11" s="12" t="n">
        <x:v>2</x:v>
      </x:c>
      <x:c r="B11" s="23" t="inlineStr">
        <x:is>
          <x:t xml:space="preserve">Poin pada setiap soal bersifat statis.</x:t>
        </x:is>
      </x:c>
      <x:c r="C11" s="34" t="n"/>
      <x:c r="D11" s="34" t="n"/>
      <x:c r="E11" s="34" t="n"/>
      <x:c r="F11" s="34" t="n"/>
      <x:c r="G11" s="34" t="n"/>
      <x:c r="H11" s="35" t="n"/>
    </x:row>
    <x:row r="12" ht="30" customHeight="1">
      <x:c r="A12" s="12" t="n">
        <x:v>3</x:v>
      </x:c>
      <x:c r="B12" s="23" t="inlineStr">
        <x:is>
          <x:t xml:space="preserve">Kompetitor harus membuat writeup detail dengan flag dan POC.</x:t>
        </x:is>
      </x:c>
      <x:c r="C12" s="34" t="n"/>
      <x:c r="D12" s="34" t="n"/>
      <x:c r="E12" s="34" t="n"/>
      <x:c r="F12" s="34" t="n"/>
      <x:c r="G12" s="34" t="n"/>
      <x:c r="H12" s="35" t="n"/>
    </x:row>
    <x:row r="13" ht="30" customHeight="1">
      <x:c r="A13" s="12" t="n">
        <x:v>4</x:v>
      </x:c>
      <x:c r="B13" s="23" t="inlineStr">
        <x:is>
          <x:t xml:space="preserve">Modul A dikerjakan sebagai closed book manual drill.</x:t>
        </x:is>
      </x:c>
      <x:c r="C13" s="34" t="n"/>
      <x:c r="D13" s="34" t="n"/>
      <x:c r="E13" s="34" t="n"/>
      <x:c r="F13" s="34" t="n"/>
      <x:c r="G13" s="34" t="n"/>
      <x:c r="H13" s="35" t="n"/>
    </x:row>
    <x:row r="14" ht="30" customHeight="1"/>
    <x:row r="15" ht="30" customHeight="1">
      <x:c r="A15" s="36" t="inlineStr">
        <x:is>
          <x:t xml:space="preserve">Peta Kategori Latihan</x:t>
        </x:is>
      </x:c>
      <x:c r="B15" s="33" t="n"/>
      <x:c r="C15" s="33" t="n"/>
      <x:c r="D15" s="33" t="n"/>
      <x:c r="E15" s="33" t="n"/>
      <x:c r="F15" s="33" t="n"/>
      <x:c r="G15" s="33" t="n"/>
      <x:c r="H15" s="33" t="n"/>
    </x:row>
    <x:row r="16" ht="30" customHeight="1">
      <x:c r="A16" s="7" t="inlineStr">
        <x:is>
          <x:t xml:space="preserve">Ranah</x:t>
        </x:is>
      </x:c>
      <x:c r="B16" s="7" t="inlineStr">
        <x:is>
          <x:t xml:space="preserve">Kategori utama</x:t>
        </x:is>
      </x:c>
      <x:c r="C16" s="7" t="inlineStr">
        <x:is>
          <x:t xml:space="preserve">Contoh fokus easy</x:t>
        </x:is>
      </x:c>
      <x:c r="D16" s="7" t="inlineStr">
        <x:is>
          <x:t xml:space="preserve">Contoh fokus medium</x:t>
        </x:is>
      </x:c>
      <x:c r="E16" s="7" t="inlineStr">
        <x:is>
          <x:t xml:space="preserve">Pertanyaan pertama siswa</x:t>
        </x:is>
      </x:c>
      <x:c r="F16" s="7" t="inlineStr">
        <x:is>
          <x:t xml:space="preserve">Tool utama</x:t>
        </x:is>
      </x:c>
      <x:c r="G16" s="7" t="inlineStr">
        <x:is>
          <x:t xml:space="preserve">Contoh sumber latihan</x:t>
        </x:is>
      </x:c>
      <x:c r="H16" s="7" t="inlineStr">
        <x:is>
          <x:t xml:space="preserve">Output</x:t>
        </x:is>
      </x:c>
    </x:row>
    <x:row r="17" ht="30" customHeight="1">
      <x:c r="A17" s="13" t="inlineStr">
        <x:is>
          <x:t xml:space="preserve">Red Team</x:t>
        </x:is>
      </x:c>
      <x:c r="B17" s="26" t="inlineStr">
        <x:is>
          <x:t xml:space="preserve">Cryptography</x:t>
        </x:is>
      </x:c>
      <x:c r="C17" s="23" t="inlineStr">
        <x:is>
          <x:t xml:space="preserve">cipher klasik, XOR, pola angka</x:t>
        </x:is>
      </x:c>
      <x:c r="D17" s="23" t="inlineStr">
        <x:is>
          <x:t xml:space="preserve">PRNG, RSA logic, mode AES</x:t>
        </x:is>
      </x:c>
      <x:c r="E17" s="23" t="inlineStr">
        <x:is>
          <x:t xml:space="preserve">Sifat matematika apa yang bocor?</x:t>
        </x:is>
      </x:c>
      <x:c r="F17" s="23" t="inlineStr">
        <x:is>
          <x:t xml:space="preserve">Python, CyberChef</x:t>
        </x:is>
      </x:c>
      <x:c r="G17" s="23" t="inlineStr">
        <x:is>
          <x:t xml:space="preserve">absolute-cinema, heavydirtysoul, lets-go-gambling</x:t>
        </x:is>
      </x:c>
      <x:c r="H17" s="23" t="inlineStr">
        <x:is>
          <x:t xml:space="preserve">catatan hipotesis + script kecil</x:t>
        </x:is>
      </x:c>
    </x:row>
    <x:row r="18" ht="30" customHeight="1">
      <x:c r="A18" s="13" t="inlineStr">
        <x:is>
          <x:t xml:space="preserve">Red Team</x:t>
        </x:is>
      </x:c>
      <x:c r="B18" s="26" t="inlineStr">
        <x:is>
          <x:t xml:space="preserve">Web Exploitation</x:t>
        </x:is>
      </x:c>
      <x:c r="C18" s="23" t="inlineStr">
        <x:is>
          <x:t xml:space="preserve">request-response, auth, input trust</x:t>
        </x:is>
      </x:c>
      <x:c r="D18" s="23" t="inlineStr">
        <x:is>
          <x:t xml:space="preserve">SSTI, SQLi, JWT, deserialization, API flaws</x:t>
        </x:is>
      </x:c>
      <x:c r="E18" s="23" t="inlineStr">
        <x:is>
          <x:t xml:space="preserve">Input mana yang dipercaya server?</x:t>
        </x:is>
      </x:c>
      <x:c r="F18" s="23" t="inlineStr">
        <x:is>
          <x:t xml:space="preserve">Browser DevTools, Burp</x:t>
        </x:is>
      </x:c>
      <x:c r="G18" s="23" t="inlineStr">
        <x:is>
          <x:t xml:space="preserve">HEHESS, MASS, SURFING</x:t>
        </x:is>
      </x:c>
      <x:c r="H18" s="23" t="inlineStr">
        <x:is>
          <x:t xml:space="preserve">mind map route + POC</x:t>
        </x:is>
      </x:c>
    </x:row>
    <x:row r="19" ht="30" customHeight="1">
      <x:c r="A19" s="13" t="inlineStr">
        <x:is>
          <x:t xml:space="preserve">Red Team</x:t>
        </x:is>
      </x:c>
      <x:c r="B19" s="26" t="inlineStr">
        <x:is>
          <x:t xml:space="preserve">Binary Exploitation</x:t>
        </x:is>
      </x:c>
      <x:c r="C19" s="23" t="inlineStr">
        <x:is>
          <x:t xml:space="preserve">strings, checksec, input path</x:t>
        </x:is>
      </x:c>
      <x:c r="D19" s="23" t="inlineStr">
        <x:is>
          <x:t xml:space="preserve">ROP, format string, bypass proteksi</x:t>
        </x:is>
      </x:c>
      <x:c r="E19" s="23" t="inlineStr">
        <x:is>
          <x:t xml:space="preserve">Input mana menyentuh memori?</x:t>
        </x:is>
      </x:c>
      <x:c r="F19" s="23" t="inlineStr">
        <x:is>
          <x:t xml:space="preserve">strings, file, GDB</x:t>
        </x:is>
      </x:c>
      <x:c r="G19" s="23" t="inlineStr">
        <x:is>
          <x:t xml:space="preserve">BB1, BB2, BB3, shellrunner</x:t>
        </x:is>
      </x:c>
      <x:c r="H19" s="23" t="inlineStr">
        <x:is>
          <x:t xml:space="preserve">offset note + analisis</x:t>
        </x:is>
      </x:c>
    </x:row>
    <x:row r="20" ht="30" customHeight="1">
      <x:c r="A20" s="16" t="inlineStr">
        <x:is>
          <x:t xml:space="preserve">Blue Team</x:t>
        </x:is>
      </x:c>
      <x:c r="B20" s="27" t="inlineStr">
        <x:is>
          <x:t xml:space="preserve">Reverse Engineering</x:t>
        </x:is>
      </x:c>
      <x:c r="C20" s="23" t="inlineStr">
        <x:is>
          <x:t xml:space="preserve">strings, file, fungsi utama</x:t>
        </x:is>
      </x:c>
      <x:c r="D20" s="23" t="inlineStr">
        <x:is>
          <x:t xml:space="preserve">obfuscation, patching, anti-debug</x:t>
        </x:is>
      </x:c>
      <x:c r="E20" s="23" t="inlineStr">
        <x:is>
          <x:t xml:space="preserve">Program ini mengecek apa?</x:t>
        </x:is>
      </x:c>
      <x:c r="F20" s="23" t="inlineStr">
        <x:is>
          <x:t xml:space="preserve">Ghidra, strings, GDB</x:t>
        </x:is>
      </x:c>
      <x:c r="G20" s="23" t="inlineStr">
        <x:is>
          <x:t xml:space="preserve">Strings, Strings Revenge, Gambit</x:t>
        </x:is>
      </x:c>
      <x:c r="H20" s="23" t="inlineStr">
        <x:is>
          <x:t xml:space="preserve">alur logika + bukti</x:t>
        </x:is>
      </x:c>
    </x:row>
    <x:row r="21" ht="30" customHeight="1">
      <x:c r="A21" s="16" t="inlineStr">
        <x:is>
          <x:t xml:space="preserve">Blue Team</x:t>
        </x:is>
      </x:c>
      <x:c r="B21" s="27" t="inlineStr">
        <x:is>
          <x:t xml:space="preserve">Digital Forensic</x:t>
        </x:is>
      </x:c>
      <x:c r="C21" s="23" t="inlineStr">
        <x:is>
          <x:t xml:space="preserve">triage file, XML, ZIP, log</x:t>
        </x:is>
      </x:c>
      <x:c r="D21" s="23" t="inlineStr">
        <x:is>
          <x:t xml:space="preserve">PCAP, memory, malware artifact</x:t>
        </x:is>
      </x:c>
      <x:c r="E21" s="23" t="inlineStr">
        <x:is>
          <x:t xml:space="preserve">Artefak mana paling penting dulu?</x:t>
        </x:is>
      </x:c>
      <x:c r="F21" s="23" t="inlineStr">
        <x:is>
          <x:t xml:space="preserve">file, binwalk, Wireshark</x:t>
        </x:is>
      </x:c>
      <x:c r="G21" s="23" t="inlineStr">
        <x:is>
          <x:t xml:space="preserve">Zenith, Nightmare, Armageddon</x:t>
        </x:is>
      </x:c>
      <x:c r="H21" s="23" t="inlineStr">
        <x:is>
          <x:t xml:space="preserve">timeline bukti</x:t>
        </x:is>
      </x:c>
    </x:row>
    <x:row r="22" ht="30" customHeight="1">
      <x:c r="A22" s="16" t="inlineStr">
        <x:is>
          <x:t xml:space="preserve">Blue Team</x:t>
        </x:is>
      </x:c>
      <x:c r="B22" s="27" t="inlineStr">
        <x:is>
          <x:t xml:space="preserve">SOC</x:t>
        </x:is>
      </x:c>
      <x:c r="C22" s="23" t="inlineStr">
        <x:is>
          <x:t xml:space="preserve">membaca log dasar</x:t>
        </x:is>
      </x:c>
      <x:c r="D22" s="23" t="inlineStr">
        <x:is>
          <x:t xml:space="preserve">SIEM query, korelasi event, log hunting</x:t>
        </x:is>
      </x:c>
      <x:c r="E22" s="23" t="inlineStr">
        <x:is>
          <x:t xml:space="preserve">Event apa yang paling aneh?</x:t>
        </x:is>
      </x:c>
      <x:c r="F22" s="23" t="inlineStr">
        <x:is>
          <x:t xml:space="preserve">SIEM lab, log parser</x:t>
        </x:is>
      </x:c>
      <x:c r="G22" s="23" t="inlineStr">
        <x:is>
          <x:t xml:space="preserve">log drill kelas</x:t>
        </x:is>
      </x:c>
      <x:c r="H22" s="23" t="inlineStr">
        <x:is>
          <x:t xml:space="preserve">alert reasoning</x:t>
        </x:is>
      </x:c>
    </x:row>
  </x:sheetData>
  <x:mergeCells>
    <x:mergeCell ref="A15:H15"/>
    <x:mergeCell ref="B13:H13"/>
    <x:mergeCell ref="B12:H12"/>
    <x:mergeCell ref="B10:H10"/>
    <x:mergeCell ref="A1:H1"/>
    <x:mergeCell ref="B11:H1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8" customWidth="1"/>
    <x:col min="3" max="3" width="26" customWidth="1"/>
    <x:col min="4" max="4" width="10" customWidth="1"/>
    <x:col min="5" max="5" width="8" customWidth="1"/>
    <x:col min="6" max="6" width="24" customWidth="1"/>
    <x:col min="7" max="7" width="30" customWidth="1"/>
    <x:col min="8" max="8" width="30" customWidth="1"/>
    <x:col min="9" max="9" width="22" customWidth="1"/>
    <x:col min="10" max="10" width="18" customWidth="1"/>
  </x:cols>
  <x:sheetData>
    <x:row r="1" ht="26" customHeight="1">
      <x:c r="A1" s="36" t="inlineStr">
        <x:is>
          <x:t xml:space="preserve">Roadmap 20 Sesi | Dari Intuisi Dasar ke Simulasi LKS</x:t>
        </x:is>
      </x:c>
      <x:c r="B1" s="33" t="n"/>
      <x:c r="C1" s="33" t="n"/>
      <x:c r="D1" s="33" t="n"/>
      <x:c r="E1" s="33" t="n"/>
      <x:c r="F1" s="33" t="n"/>
      <x:c r="G1" s="33" t="n"/>
      <x:c r="H1" s="33" t="n"/>
      <x:c r="I1" s="33" t="n"/>
      <x:c r="J1" s="33" t="n"/>
    </x:row>
    <x:row r="2" ht="22" customHeight="1"/>
    <x:row r="3" ht="28" customHeight="1">
      <x:c r="A3" s="7" t="inlineStr">
        <x:is>
          <x:t xml:space="preserve">Kode</x:t>
        </x:is>
      </x:c>
      <x:c r="B3" s="7" t="inlineStr">
        <x:is>
          <x:t xml:space="preserve">Modul</x:t>
        </x:is>
      </x:c>
      <x:c r="C3" s="7" t="inlineStr">
        <x:is>
          <x:t xml:space="preserve">Subtema</x:t>
        </x:is>
      </x:c>
      <x:c r="D3" s="7" t="inlineStr">
        <x:is>
          <x:t xml:space="preserve">Level</x:t>
        </x:is>
      </x:c>
      <x:c r="E3" s="7" t="inlineStr">
        <x:is>
          <x:t xml:space="preserve">Jam</x:t>
        </x:is>
      </x:c>
      <x:c r="F3" s="7" t="inlineStr">
        <x:is>
          <x:t xml:space="preserve">Target kompetensi</x:t>
        </x:is>
      </x:c>
      <x:c r="G3" s="7" t="inlineStr">
        <x:is>
          <x:t xml:space="preserve">Intuisi yang dibangun</x:t>
        </x:is>
      </x:c>
      <x:c r="H3" s="7" t="inlineStr">
        <x:is>
          <x:t xml:space="preserve">Aktivitas inti</x:t>
        </x:is>
      </x:c>
      <x:c r="I3" s="7" t="inlineStr">
        <x:is>
          <x:t xml:space="preserve">Produk belajar</x:t>
        </x:is>
      </x:c>
      <x:c r="J3" s="7" t="inlineStr">
        <x:is>
          <x:t xml:space="preserve">Evaluasi</x:t>
        </x:is>
      </x:c>
    </x:row>
    <x:row r="4" ht="42" customHeight="1">
      <x:c r="A4" s="9" t="inlineStr">
        <x:is>
          <x:t xml:space="preserve">A1</x:t>
        </x:is>
      </x:c>
      <x:c r="B4" s="9" t="inlineStr">
        <x:is>
          <x:t xml:space="preserve">A</x:t>
        </x:is>
      </x:c>
      <x:c r="C4" s="23" t="inlineStr">
        <x:is>
          <x:t xml:space="preserve">Orientasi hardening, audit baseline, aturan lomba</x:t>
        </x:is>
      </x:c>
      <x:c r="D4" s="8" t="inlineStr">
        <x:is>
          <x:t xml:space="preserve">Easy</x:t>
        </x:is>
      </x:c>
      <x:c r="E4" s="12" t="n">
        <x:v>3</x:v>
      </x:c>
      <x:c r="F4" s="23" t="inlineStr">
        <x:is>
          <x:t xml:space="preserve">Mampu memetakan user, service, file config, dan constraint sebelum mengubah sistem.</x:t>
        </x:is>
      </x:c>
      <x:c r="G4" s="23" t="inlineStr">
        <x:is>
          <x:t xml:space="preserve">Jangan ubah apa pun sebelum tahu user, service, port, dan objective.</x:t>
        </x:is>
      </x:c>
      <x:c r="H4" s="23" t="inlineStr">
        <x:is>
          <x:t xml:space="preserve">Baca objective, cek user/service, backup config, buat checklist awal.</x:t>
        </x:is>
      </x:c>
      <x:c r="I4" s="23" t="inlineStr">
        <x:is>
          <x:t xml:space="preserve">audit baseline + backup list</x:t>
        </x:is>
      </x:c>
      <x:c r="J4" s="23" t="inlineStr">
        <x:is>
          <x:t xml:space="preserve">observasi + tanya jawab</x:t>
        </x:is>
      </x:c>
    </x:row>
    <x:row r="5" ht="42" customHeight="1">
      <x:c r="A5" s="9" t="inlineStr">
        <x:is>
          <x:t xml:space="preserve">A2</x:t>
        </x:is>
      </x:c>
      <x:c r="B5" s="9" t="inlineStr">
        <x:is>
          <x:t xml:space="preserve">A</x:t>
        </x:is>
      </x:c>
      <x:c r="C5" s="23" t="inlineStr">
        <x:is>
          <x:t xml:space="preserve">PAM, password policy, dan SSH access control</x:t>
        </x:is>
      </x:c>
      <x:c r="D5" s="8" t="inlineStr">
        <x:is>
          <x:t xml:space="preserve">Easy</x:t>
        </x:is>
      </x:c>
      <x:c r="E5" s="12" t="n">
        <x:v>3</x:v>
      </x:c>
      <x:c r="F5" s="23" t="inlineStr">
        <x:is>
          <x:t xml:space="preserve">Mampu mengatur PermitRootLogin, AllowUsers, dan policy password minimum.</x:t>
        </x:is>
      </x:c>
      <x:c r="G5" s="23" t="inlineStr">
        <x:is>
          <x:t xml:space="preserve">Hak akses adalah gerbang pertama. Salah satu baris config bisa membuka atau menutup risiko besar.</x:t>
        </x:is>
      </x:c>
      <x:c r="H5" s="23" t="inlineStr">
        <x:is>
          <x:t xml:space="preserve">Edit sshd_config, pwquality, ganti password, uji login aman.</x:t>
        </x:is>
      </x:c>
      <x:c r="I5" s="23" t="inlineStr">
        <x:is>
          <x:t xml:space="preserve">bukti config + hasil uji</x:t>
        </x:is>
      </x:c>
      <x:c r="J5" s="23" t="inlineStr">
        <x:is>
          <x:t xml:space="preserve">praktik langsung</x:t>
        </x:is>
      </x:c>
    </x:row>
    <x:row r="6" ht="42" customHeight="1">
      <x:c r="A6" s="9" t="inlineStr">
        <x:is>
          <x:t xml:space="preserve">A3</x:t>
        </x:is>
      </x:c>
      <x:c r="B6" s="9" t="inlineStr">
        <x:is>
          <x:t xml:space="preserve">A</x:t>
        </x:is>
      </x:c>
      <x:c r="C6" s="23" t="inlineStr">
        <x:is>
          <x:t xml:space="preserve">Samba, NGINX logging, dan firewall</x:t>
        </x:is>
      </x:c>
      <x:c r="D6" s="8" t="inlineStr">
        <x:is>
          <x:t xml:space="preserve">Easy</x:t>
        </x:is>
      </x:c>
      <x:c r="E6" s="12" t="n">
        <x:v>3</x:v>
      </x:c>
      <x:c r="F6" s="23" t="inlineStr">
        <x:is>
          <x:t xml:space="preserve">Mampu mengamankan share, mengaktifkan log, dan menjaga port yang perlu tetap hidup.</x:t>
        </x:is>
      </x:c>
      <x:c r="G6" s="23" t="inlineStr">
        <x:is>
          <x:t xml:space="preserve">Service aman berarti hanya fungsi yang dibutuhkan yang tetap aktif dan bisa dibuktikan.</x:t>
        </x:is>
      </x:c>
      <x:c r="H6" s="23" t="inlineStr">
        <x:is>
          <x:t xml:space="preserve">Konfigurasi smb.conf, buat /opt/shares, aktifkan access log, atur UFW.</x:t>
        </x:is>
      </x:c>
      <x:c r="I6" s="23" t="inlineStr">
        <x:is>
          <x:t xml:space="preserve">checklist verifikasi layanan</x:t>
        </x:is>
      </x:c>
      <x:c r="J6" s="23" t="inlineStr">
        <x:is>
          <x:t xml:space="preserve">praktik langsung</x:t>
        </x:is>
      </x:c>
    </x:row>
    <x:row r="7" ht="42" customHeight="1">
      <x:c r="A7" s="9" t="inlineStr">
        <x:is>
          <x:t xml:space="preserve">A4</x:t>
        </x:is>
      </x:c>
      <x:c r="B7" s="9" t="inlineStr">
        <x:is>
          <x:t xml:space="preserve">A</x:t>
        </x:is>
      </x:c>
      <x:c r="C7" s="23" t="inlineStr">
        <x:is>
          <x:t xml:space="preserve">Simulasi Module A 120 menit</x:t>
        </x:is>
      </x:c>
      <x:c r="D7" s="8" t="inlineStr">
        <x:is>
          <x:t xml:space="preserve">Medium</x:t>
        </x:is>
      </x:c>
      <x:c r="E7" s="12" t="n">
        <x:v>3</x:v>
      </x:c>
      <x:c r="F7" s="23" t="inlineStr">
        <x:is>
          <x:t xml:space="preserve">Mampu menyelesaikan seluruh objective hardening secara manual tanpa merusak akses.</x:t>
        </x:is>
      </x:c>
      <x:c r="G7" s="23" t="inlineStr">
        <x:is>
          <x:t xml:space="preserve">Kerjakan cepat tetapi tetap reversible. Verifikasi lebih penting dari asumsi.</x:t>
        </x:is>
      </x:c>
      <x:c r="H7" s="23" t="inlineStr">
        <x:is>
          <x:t xml:space="preserve">Dummy exam 120 menit, siswa wajib catat urutan kerja dan verifikasi.</x:t>
        </x:is>
      </x:c>
      <x:c r="I7" s="23" t="inlineStr">
        <x:is>
          <x:t xml:space="preserve">lembar hasil + log verifikasi</x:t>
        </x:is>
      </x:c>
      <x:c r="J7" s="23" t="inlineStr">
        <x:is>
          <x:t xml:space="preserve">simulasi waktu</x:t>
        </x:is>
      </x:c>
    </x:row>
    <x:row r="8" ht="42" customHeight="1">
      <x:c r="A8" s="13" t="inlineStr">
        <x:is>
          <x:t xml:space="preserve">B1</x:t>
        </x:is>
      </x:c>
      <x:c r="B8" s="13" t="inlineStr">
        <x:is>
          <x:t xml:space="preserve">B</x:t>
        </x:is>
      </x:c>
      <x:c r="C8" s="23" t="inlineStr">
        <x:is>
          <x:t xml:space="preserve">Crypto easy: cipher klasik, XOR, syarat numerik</x:t>
        </x:is>
      </x:c>
      <x:c r="D8" s="24" t="inlineStr">
        <x:is>
          <x:t xml:space="preserve">Easy</x:t>
        </x:is>
      </x:c>
      <x:c r="E8" s="12" t="n">
        <x:v>3</x:v>
      </x:c>
      <x:c r="F8" s="23" t="inlineStr">
        <x:is>
          <x:t xml:space="preserve">Mampu mengenali pola enkripsi dasar dan menulis skrip bantu kecil.</x:t>
        </x:is>
      </x:c>
      <x:c r="G8" s="23" t="inlineStr">
        <x:is>
          <x:t xml:space="preserve">Crypto CTF jarang soal brute force murni. Biasanya ada pola, sifat, atau logika yang bocor.</x:t>
        </x:is>
      </x:c>
      <x:c r="H8" s="23" t="inlineStr">
        <x:is>
          <x:t xml:space="preserve">Latihan klasifikasi, baca source, pecah syarat, gunakan Python sederhana.</x:t>
        </x:is>
      </x:c>
      <x:c r="I8" s="23" t="inlineStr">
        <x:is>
          <x:t xml:space="preserve">script kecil + alasan matematis</x:t>
        </x:is>
      </x:c>
      <x:c r="J8" s="23" t="inlineStr">
        <x:is>
          <x:t xml:space="preserve">latihan terarah</x:t>
        </x:is>
      </x:c>
    </x:row>
    <x:row r="9" ht="42" customHeight="1">
      <x:c r="A9" s="13" t="inlineStr">
        <x:is>
          <x:t xml:space="preserve">B2</x:t>
        </x:is>
      </x:c>
      <x:c r="B9" s="13" t="inlineStr">
        <x:is>
          <x:t xml:space="preserve">B</x:t>
        </x:is>
      </x:c>
      <x:c r="C9" s="23" t="inlineStr">
        <x:is>
          <x:t xml:space="preserve">Crypto medium: PRNG, RSA logic, attack pattern</x:t>
        </x:is>
      </x:c>
      <x:c r="D9" s="24" t="inlineStr">
        <x:is>
          <x:t xml:space="preserve">Medium</x:t>
        </x:is>
      </x:c>
      <x:c r="E9" s="12" t="n">
        <x:v>3</x:v>
      </x:c>
      <x:c r="F9" s="23" t="inlineStr">
        <x:is>
          <x:t xml:space="preserve">Mampu menghubungkan output acak atau parameter RSA dengan kelemahan implementasi.</x:t>
        </x:is>
      </x:c>
      <x:c r="G9" s="23" t="inlineStr">
        <x:is>
          <x:t xml:space="preserve">Kalau output tampak acak, cari struktur. Kalau RSA tampak kuat, cari parameter yang salah.</x:t>
        </x:is>
      </x:c>
      <x:c r="H9" s="23" t="inlineStr">
        <x:is>
          <x:t xml:space="preserve">Studi kasus PRNG, state prediction, dan skenario RSA logic.</x:t>
        </x:is>
      </x:c>
      <x:c r="I9" s="23" t="inlineStr">
        <x:is>
          <x:t xml:space="preserve">catatan hipotesis + script</x:t>
        </x:is>
      </x:c>
      <x:c r="J9" s="23" t="inlineStr">
        <x:is>
          <x:t xml:space="preserve">kuis teknis</x:t>
        </x:is>
      </x:c>
    </x:row>
    <x:row r="10" ht="42" customHeight="1">
      <x:c r="A10" s="13" t="inlineStr">
        <x:is>
          <x:t xml:space="preserve">B3</x:t>
        </x:is>
      </x:c>
      <x:c r="B10" s="13" t="inlineStr">
        <x:is>
          <x:t xml:space="preserve">B</x:t>
        </x:is>
      </x:c>
      <x:c r="C10" s="23" t="inlineStr">
        <x:is>
          <x:t xml:space="preserve">Web easy: memetakan route, auth, dan trust boundary</x:t>
        </x:is>
      </x:c>
      <x:c r="D10" s="24" t="inlineStr">
        <x:is>
          <x:t xml:space="preserve">Easy</x:t>
        </x:is>
      </x:c>
      <x:c r="E10" s="12" t="n">
        <x:v>3</x:v>
      </x:c>
      <x:c r="F10" s="23" t="inlineStr">
        <x:is>
          <x:t xml:space="preserve">Mampu membaca request-response dan mengenali input yang dipercaya server.</x:t>
        </x:is>
      </x:c>
      <x:c r="G10" s="23" t="inlineStr">
        <x:is>
          <x:t xml:space="preserve">Soal web dimulai dari peta. Tanpa peta route dan parameter, payload sering meleset.</x:t>
        </x:is>
      </x:c>
      <x:c r="H10" s="23" t="inlineStr">
        <x:is>
          <x:t xml:space="preserve">Gunakan DevTools atau Burp untuk memetakan endpoint, method, dan field penting.</x:t>
        </x:is>
      </x:c>
      <x:c r="I10" s="23" t="inlineStr">
        <x:is>
          <x:t xml:space="preserve">route map + notes</x:t>
        </x:is>
      </x:c>
      <x:c r="J10" s="23" t="inlineStr">
        <x:is>
          <x:t xml:space="preserve">review berpasangan</x:t>
        </x:is>
      </x:c>
    </x:row>
    <x:row r="11" ht="42" customHeight="1">
      <x:c r="A11" s="13" t="inlineStr">
        <x:is>
          <x:t xml:space="preserve">B4</x:t>
        </x:is>
      </x:c>
      <x:c r="B11" s="13" t="inlineStr">
        <x:is>
          <x:t xml:space="preserve">B</x:t>
        </x:is>
      </x:c>
      <x:c r="C11" s="23" t="inlineStr">
        <x:is>
          <x:t xml:space="preserve">Web medium: logic flaw, SSTI, injection family</x:t>
        </x:is>
      </x:c>
      <x:c r="D11" s="24" t="inlineStr">
        <x:is>
          <x:t xml:space="preserve">Medium</x:t>
        </x:is>
      </x:c>
      <x:c r="E11" s="12" t="n">
        <x:v>3</x:v>
      </x:c>
      <x:c r="F11" s="23" t="inlineStr">
        <x:is>
          <x:t xml:space="preserve">Mampu membedakan gejala tiap kelas kerentanan dan memilih uji kecil yang aman.</x:t>
        </x:is>
      </x:c>
      <x:c r="G11" s="23" t="inlineStr">
        <x:is>
          <x:t xml:space="preserve">Pertanyaan utama bukan payload canggih, tetapi asumsi backend yang salah.</x:t>
        </x:is>
      </x:c>
      <x:c r="H11" s="23" t="inlineStr">
        <x:is>
          <x:t xml:space="preserve">Latihan analisis source dan request untuk SSTI, SQLi, mass assignment, JWT.</x:t>
        </x:is>
      </x:c>
      <x:c r="I11" s="23" t="inlineStr">
        <x:is>
          <x:t xml:space="preserve">matrix gejala vs uji</x:t>
        </x:is>
      </x:c>
      <x:c r="J11" s="23" t="inlineStr">
        <x:is>
          <x:t xml:space="preserve">praktik terarah</x:t>
        </x:is>
      </x:c>
    </x:row>
    <x:row r="12" ht="42" customHeight="1">
      <x:c r="A12" s="13" t="inlineStr">
        <x:is>
          <x:t xml:space="preserve">B5</x:t>
        </x:is>
      </x:c>
      <x:c r="B12" s="13" t="inlineStr">
        <x:is>
          <x:t xml:space="preserve">B</x:t>
        </x:is>
      </x:c>
      <x:c r="C12" s="23" t="inlineStr">
        <x:is>
          <x:t xml:space="preserve">Binary easy: triage binary, strings, file, checksec</x:t>
        </x:is>
      </x:c>
      <x:c r="D12" s="24" t="inlineStr">
        <x:is>
          <x:t xml:space="preserve">Easy</x:t>
        </x:is>
      </x:c>
      <x:c r="E12" s="12" t="n">
        <x:v>3</x:v>
      </x:c>
      <x:c r="F12" s="23" t="inlineStr">
        <x:is>
          <x:t xml:space="preserve">Mampu membaca proteksi biner dan menentukan alat awal yang tepat.</x:t>
        </x:is>
      </x:c>
      <x:c r="G12" s="23" t="inlineStr">
        <x:is>
          <x:t xml:space="preserve">Sebelum exploit, pahami medannya: file type, proteksi, input, dan output.</x:t>
        </x:is>
      </x:c>
      <x:c r="H12" s="23" t="inlineStr">
        <x:is>
          <x:t xml:space="preserve">Gunakan file, strings, checksec, GDB dasar.</x:t>
        </x:is>
      </x:c>
      <x:c r="I12" s="23" t="inlineStr">
        <x:is>
          <x:t xml:space="preserve">lembar triage biner</x:t>
        </x:is>
      </x:c>
      <x:c r="J12" s="23" t="inlineStr">
        <x:is>
          <x:t xml:space="preserve">cek pemahaman</x:t>
        </x:is>
      </x:c>
    </x:row>
    <x:row r="13" ht="42" customHeight="1">
      <x:c r="A13" s="13" t="inlineStr">
        <x:is>
          <x:t xml:space="preserve">B6</x:t>
        </x:is>
      </x:c>
      <x:c r="B13" s="13" t="inlineStr">
        <x:is>
          <x:t xml:space="preserve">B</x:t>
        </x:is>
      </x:c>
      <x:c r="C13" s="23" t="inlineStr">
        <x:is>
          <x:t xml:space="preserve">Binary medium: kontrol alur, ROP, bypass proteksi</x:t>
        </x:is>
      </x:c>
      <x:c r="D13" s="24" t="inlineStr">
        <x:is>
          <x:t xml:space="preserve">Medium</x:t>
        </x:is>
      </x:c>
      <x:c r="E13" s="12" t="n">
        <x:v>3</x:v>
      </x:c>
      <x:c r="F13" s="23" t="inlineStr">
        <x:is>
          <x:t xml:space="preserve">Mampu menjelaskan konsep offset, calling convention, dan mitigasi utama.</x:t>
        </x:is>
      </x:c>
      <x:c r="G13" s="23" t="inlineStr">
        <x:is>
          <x:t xml:space="preserve">Binary bukan tebakan. Setiap offset dan gadget harus bisa dijelaskan.</x:t>
        </x:is>
      </x:c>
      <x:c r="H13" s="23" t="inlineStr">
        <x:is>
          <x:t xml:space="preserve">Analisis challenge tingkat menengah dan diskusi strategi ROP.</x:t>
        </x:is>
      </x:c>
      <x:c r="I13" s="23" t="inlineStr">
        <x:is>
          <x:t xml:space="preserve">diagram alur exploit</x:t>
        </x:is>
      </x:c>
      <x:c r="J13" s="23" t="inlineStr">
        <x:is>
          <x:t xml:space="preserve">praktik lab</x:t>
        </x:is>
      </x:c>
    </x:row>
    <x:row r="14" ht="42" customHeight="1">
      <x:c r="A14" s="13" t="inlineStr">
        <x:is>
          <x:t xml:space="preserve">B7</x:t>
        </x:is>
      </x:c>
      <x:c r="B14" s="13" t="inlineStr">
        <x:is>
          <x:t xml:space="preserve">B</x:t>
        </x:is>
      </x:c>
      <x:c r="C14" s="23" t="inlineStr">
        <x:is>
          <x:t xml:space="preserve">Boot2Root dan misc reasoning</x:t>
        </x:is>
      </x:c>
      <x:c r="D14" s="24" t="inlineStr">
        <x:is>
          <x:t xml:space="preserve">Medium</x:t>
        </x:is>
      </x:c>
      <x:c r="E14" s="12" t="n">
        <x:v>3</x:v>
      </x:c>
      <x:c r="F14" s="23" t="inlineStr">
        <x:is>
          <x:t xml:space="preserve">Mampu melakukan enumerasi awal dan memilih jalur serang yang paling masuk akal.</x:t>
        </x:is>
      </x:c>
      <x:c r="G14" s="23" t="inlineStr">
        <x:is>
          <x:t xml:space="preserve">Kalau banyak petunjuk campur, kembali ke pertanyaan paling literal: target awal apa, akses awal apa.</x:t>
        </x:is>
      </x:c>
      <x:c r="H14" s="23" t="inlineStr">
        <x:is>
          <x:t xml:space="preserve">Enumerasi service, file, petunjuk pyjail, OSINT yang etis.</x:t>
        </x:is>
      </x:c>
      <x:c r="I14" s="23" t="inlineStr">
        <x:is>
          <x:t xml:space="preserve">catatan langkah + prioritas</x:t>
        </x:is>
      </x:c>
      <x:c r="J14" s="23" t="inlineStr">
        <x:is>
          <x:t xml:space="preserve">presentasi singkat</x:t>
        </x:is>
      </x:c>
    </x:row>
    <x:row r="15" ht="42" customHeight="1">
      <x:c r="A15" s="13" t="inlineStr">
        <x:is>
          <x:t xml:space="preserve">B8</x:t>
        </x:is>
      </x:c>
      <x:c r="B15" s="13" t="inlineStr">
        <x:is>
          <x:t xml:space="preserve">B</x:t>
        </x:is>
      </x:c>
      <x:c r="C15" s="23" t="inlineStr">
        <x:is>
          <x:t xml:space="preserve">Simulasi Module B + writeup</x:t>
        </x:is>
      </x:c>
      <x:c r="D15" s="24" t="inlineStr">
        <x:is>
          <x:t xml:space="preserve">Medium</x:t>
        </x:is>
      </x:c>
      <x:c r="E15" s="12" t="n">
        <x:v>3</x:v>
      </x:c>
      <x:c r="F15" s="23" t="inlineStr">
        <x:is>
          <x:t xml:space="preserve">Mampu menyelesaikan challenge red team dan menulis writeup yang runtut.</x:t>
        </x:is>
      </x:c>
      <x:c r="G15" s="23" t="inlineStr">
        <x:is>
          <x:t xml:space="preserve">Writeup bagus memaksa pikiran tetap rapi saat waktu mepet.</x:t>
        </x:is>
      </x:c>
      <x:c r="H15" s="23" t="inlineStr">
        <x:is>
          <x:t xml:space="preserve">Simulasi CTF 3 jam, setiap tim wajib kirim writeup evidence-based.</x:t>
        </x:is>
      </x:c>
      <x:c r="I15" s="23" t="inlineStr">
        <x:is>
          <x:t xml:space="preserve">writeup + POC</x:t>
        </x:is>
      </x:c>
      <x:c r="J15" s="23" t="inlineStr">
        <x:is>
          <x:t xml:space="preserve">simulasi waktu</x:t>
        </x:is>
      </x:c>
    </x:row>
    <x:row r="16" ht="42" customHeight="1">
      <x:c r="A16" s="16" t="inlineStr">
        <x:is>
          <x:t xml:space="preserve">C1</x:t>
        </x:is>
      </x:c>
      <x:c r="B16" s="16" t="inlineStr">
        <x:is>
          <x:t xml:space="preserve">C</x:t>
        </x:is>
      </x:c>
      <x:c r="C16" s="23" t="inlineStr">
        <x:is>
          <x:t xml:space="preserve">Reverse easy: strings, file, fungsi utama</x:t>
        </x:is>
      </x:c>
      <x:c r="D16" s="25" t="inlineStr">
        <x:is>
          <x:t xml:space="preserve">Easy</x:t>
        </x:is>
      </x:c>
      <x:c r="E16" s="12" t="n">
        <x:v>3</x:v>
      </x:c>
      <x:c r="F16" s="23" t="inlineStr">
        <x:is>
          <x:t xml:space="preserve">Mampu memetakan program dan menemukan titik pemeriksaan input.</x:t>
        </x:is>
      </x:c>
      <x:c r="G16" s="23" t="inlineStr">
        <x:is>
          <x:t xml:space="preserve">Reverse dimulai dari apa yang paling murah: file type, strings, entry point.</x:t>
        </x:is>
      </x:c>
      <x:c r="H16" s="23" t="inlineStr">
        <x:is>
          <x:t xml:space="preserve">Latihan dengan binary mudah dan identifikasi fungsi verifikasi.</x:t>
        </x:is>
      </x:c>
      <x:c r="I16" s="23" t="inlineStr">
        <x:is>
          <x:t xml:space="preserve">peta fungsi</x:t>
        </x:is>
      </x:c>
      <x:c r="J16" s="23" t="inlineStr">
        <x:is>
          <x:t xml:space="preserve">praktik lab</x:t>
        </x:is>
      </x:c>
    </x:row>
    <x:row r="17" ht="42" customHeight="1">
      <x:c r="A17" s="16" t="inlineStr">
        <x:is>
          <x:t xml:space="preserve">C2</x:t>
        </x:is>
      </x:c>
      <x:c r="B17" s="16" t="inlineStr">
        <x:is>
          <x:t xml:space="preserve">C</x:t>
        </x:is>
      </x:c>
      <x:c r="C17" s="23" t="inlineStr">
        <x:is>
          <x:t xml:space="preserve">Reverse medium: obfuscation, patching, dynamic trace</x:t>
        </x:is>
      </x:c>
      <x:c r="D17" s="25" t="inlineStr">
        <x:is>
          <x:t xml:space="preserve">Medium</x:t>
        </x:is>
      </x:c>
      <x:c r="E17" s="12" t="n">
        <x:v>3</x:v>
      </x:c>
      <x:c r="F17" s="23" t="inlineStr">
        <x:is>
          <x:t xml:space="preserve">Mampu menelusuri logika yang disamarkan dan memvalidasi hipotesis dengan tracing.</x:t>
        </x:is>
      </x:c>
      <x:c r="G17" s="23" t="inlineStr">
        <x:is>
          <x:t xml:space="preserve">Kalau kode tampak aneh, jangan panik. Pecah menjadi input, transformasi, dan pengecekan.</x:t>
        </x:is>
      </x:c>
      <x:c r="H17" s="23" t="inlineStr">
        <x:is>
          <x:t xml:space="preserve">Gunakan Ghidra, tracing, dan patch sederhana di lab.</x:t>
        </x:is>
      </x:c>
      <x:c r="I17" s="23" t="inlineStr">
        <x:is>
          <x:t xml:space="preserve">catatan trace + patch note</x:t>
        </x:is>
      </x:c>
      <x:c r="J17" s="23" t="inlineStr">
        <x:is>
          <x:t xml:space="preserve">praktik lab</x:t>
        </x:is>
      </x:c>
    </x:row>
    <x:row r="18" ht="42" customHeight="1">
      <x:c r="A18" s="16" t="inlineStr">
        <x:is>
          <x:t xml:space="preserve">C3</x:t>
        </x:is>
      </x:c>
      <x:c r="B18" s="16" t="inlineStr">
        <x:is>
          <x:t xml:space="preserve">C</x:t>
        </x:is>
      </x:c>
      <x:c r="C18" s="23" t="inlineStr">
        <x:is>
          <x:t xml:space="preserve">Forensic easy: triage file, ZIP, log, metadata</x:t>
        </x:is>
      </x:c>
      <x:c r="D18" s="25" t="inlineStr">
        <x:is>
          <x:t xml:space="preserve">Easy</x:t>
        </x:is>
      </x:c>
      <x:c r="E18" s="12" t="n">
        <x:v>3</x:v>
      </x:c>
      <x:c r="F18" s="23" t="inlineStr">
        <x:is>
          <x:t xml:space="preserve">Mampu memilih artefak pertama yang paling bernilai.</x:t>
        </x:is>
      </x:c>
      <x:c r="G18" s="23" t="inlineStr">
        <x:is>
          <x:t xml:space="preserve">Forensic bukan buka semua file. Pilih artefak yang paling mungkin menjawab soal.</x:t>
        </x:is>
      </x:c>
      <x:c r="H18" s="23" t="inlineStr">
        <x:is>
          <x:t xml:space="preserve">Gunakan file, strings, exiftool, binwalk, grep log.</x:t>
        </x:is>
      </x:c>
      <x:c r="I18" s="23" t="inlineStr">
        <x:is>
          <x:t xml:space="preserve">timeline awal</x:t>
        </x:is>
      </x:c>
      <x:c r="J18" s="23" t="inlineStr">
        <x:is>
          <x:t xml:space="preserve">latihan individual</x:t>
        </x:is>
      </x:c>
    </x:row>
    <x:row r="19" ht="42" customHeight="1">
      <x:c r="A19" s="16" t="inlineStr">
        <x:is>
          <x:t xml:space="preserve">C4</x:t>
        </x:is>
      </x:c>
      <x:c r="B19" s="16" t="inlineStr">
        <x:is>
          <x:t xml:space="preserve">C</x:t>
        </x:is>
      </x:c>
      <x:c r="C19" s="23" t="inlineStr">
        <x:is>
          <x:t xml:space="preserve">Forensic medium: PCAP, memory, malware artifact</x:t>
        </x:is>
      </x:c>
      <x:c r="D19" s="25" t="inlineStr">
        <x:is>
          <x:t xml:space="preserve">Medium</x:t>
        </x:is>
      </x:c>
      <x:c r="E19" s="12" t="n">
        <x:v>3</x:v>
      </x:c>
      <x:c r="F19" s="23" t="inlineStr">
        <x:is>
          <x:t xml:space="preserve">Mampu menghubungkan banyak artefak menjadi satu cerita kejadian.</x:t>
        </x:is>
      </x:c>
      <x:c r="G19" s="23" t="inlineStr">
        <x:is>
          <x:t xml:space="preserve">Bukti kecil menjadi kuat kalau saling menguatkan.</x:t>
        </x:is>
      </x:c>
      <x:c r="H19" s="23" t="inlineStr">
        <x:is>
          <x:t xml:space="preserve">Praktik PCAP, memory triage, dan korelasi artefak.</x:t>
        </x:is>
      </x:c>
      <x:c r="I19" s="23" t="inlineStr">
        <x:is>
          <x:t xml:space="preserve">timeline lengkap</x:t>
        </x:is>
      </x:c>
      <x:c r="J19" s="23" t="inlineStr">
        <x:is>
          <x:t xml:space="preserve">praktik lab</x:t>
        </x:is>
      </x:c>
    </x:row>
    <x:row r="20" ht="42" customHeight="1">
      <x:c r="A20" s="16" t="inlineStr">
        <x:is>
          <x:t xml:space="preserve">C5</x:t>
        </x:is>
      </x:c>
      <x:c r="B20" s="16" t="inlineStr">
        <x:is>
          <x:t xml:space="preserve">C</x:t>
        </x:is>
      </x:c>
      <x:c r="C20" s="23" t="inlineStr">
        <x:is>
          <x:t xml:space="preserve">SOC easy: log reading dan alert reasoning</x:t>
        </x:is>
      </x:c>
      <x:c r="D20" s="25" t="inlineStr">
        <x:is>
          <x:t xml:space="preserve">Easy</x:t>
        </x:is>
      </x:c>
      <x:c r="E20" s="12" t="n">
        <x:v>3</x:v>
      </x:c>
      <x:c r="F20" s="23" t="inlineStr">
        <x:is>
          <x:t xml:space="preserve">Mampu membaca event, memilah noise, dan menulis alasan kenapa event dianggap penting.</x:t>
        </x:is>
      </x:c>
      <x:c r="G20" s="23" t="inlineStr">
        <x:is>
          <x:t xml:space="preserve">Tidak semua log penting. Cari penyimpangan yang paling menjawab objective.</x:t>
        </x:is>
      </x:c>
      <x:c r="H20" s="23" t="inlineStr">
        <x:is>
          <x:t xml:space="preserve">Gunakan log latihan dan query sederhana.</x:t>
        </x:is>
      </x:c>
      <x:c r="I20" s="23" t="inlineStr">
        <x:is>
          <x:t xml:space="preserve">log note + reasoning</x:t>
        </x:is>
      </x:c>
      <x:c r="J20" s="23" t="inlineStr">
        <x:is>
          <x:t xml:space="preserve">mini challenge</x:t>
        </x:is>
      </x:c>
    </x:row>
    <x:row r="21" ht="42" customHeight="1">
      <x:c r="A21" s="16" t="inlineStr">
        <x:is>
          <x:t xml:space="preserve">C6</x:t>
        </x:is>
      </x:c>
      <x:c r="B21" s="16" t="inlineStr">
        <x:is>
          <x:t xml:space="preserve">C</x:t>
        </x:is>
      </x:c>
      <x:c r="C21" s="23" t="inlineStr">
        <x:is>
          <x:t xml:space="preserve">SOC medium: SIEM query dan korelasi event</x:t>
        </x:is>
      </x:c>
      <x:c r="D21" s="25" t="inlineStr">
        <x:is>
          <x:t xml:space="preserve">Medium</x:t>
        </x:is>
      </x:c>
      <x:c r="E21" s="12" t="n">
        <x:v>3</x:v>
      </x:c>
      <x:c r="F21" s="23" t="inlineStr">
        <x:is>
          <x:t xml:space="preserve">Mampu menyusun query, menghubungkan host-user-time, dan menjustifikasi temuan.</x:t>
        </x:is>
      </x:c>
      <x:c r="G21" s="23" t="inlineStr">
        <x:is>
          <x:t xml:space="preserve">SOC kuat bukan karena banyak query, tetapi karena query yang relevan.</x:t>
        </x:is>
      </x:c>
      <x:c r="H21" s="23" t="inlineStr">
        <x:is>
          <x:t xml:space="preserve">Latihan korelasi event dan hunting sederhana.</x:t>
        </x:is>
      </x:c>
      <x:c r="I21" s="23" t="inlineStr">
        <x:is>
          <x:t xml:space="preserve">query set + finding note</x:t>
        </x:is>
      </x:c>
      <x:c r="J21" s="23" t="inlineStr">
        <x:is>
          <x:t xml:space="preserve">praktik lab</x:t>
        </x:is>
      </x:c>
    </x:row>
    <x:row r="22" ht="42" customHeight="1">
      <x:c r="A22" s="16" t="inlineStr">
        <x:is>
          <x:t xml:space="preserve">C7</x:t>
        </x:is>
      </x:c>
      <x:c r="B22" s="16" t="inlineStr">
        <x:is>
          <x:t xml:space="preserve">C</x:t>
        </x:is>
      </x:c>
      <x:c r="C22" s="23" t="inlineStr">
        <x:is>
          <x:t xml:space="preserve">Blue team mixed drill</x:t>
        </x:is>
      </x:c>
      <x:c r="D22" s="25" t="inlineStr">
        <x:is>
          <x:t xml:space="preserve">Medium</x:t>
        </x:is>
      </x:c>
      <x:c r="E22" s="12" t="n">
        <x:v>3</x:v>
      </x:c>
      <x:c r="F22" s="23" t="inlineStr">
        <x:is>
          <x:t xml:space="preserve">Mampu berpindah dari reverse, forensic, dan SOC dengan tetap sistematis.</x:t>
        </x:is>
      </x:c>
      <x:c r="G22" s="23" t="inlineStr">
        <x:is>
          <x:t xml:space="preserve">Saat buntu, kembali ke objective dan bukti, bukan ke tebakan baru.</x:t>
        </x:is>
      </x:c>
      <x:c r="H22" s="23" t="inlineStr">
        <x:is>
          <x:t xml:space="preserve">Mixed drill dengan rotasi artefak dan waktu terbatas.</x:t>
        </x:is>
      </x:c>
      <x:c r="I22" s="23" t="inlineStr">
        <x:is>
          <x:t xml:space="preserve">catatan bukti lintas kategori</x:t>
        </x:is>
      </x:c>
      <x:c r="J22" s="23" t="inlineStr">
        <x:is>
          <x:t xml:space="preserve">observasi guru</x:t>
        </x:is>
      </x:c>
    </x:row>
    <x:row r="23" ht="42" customHeight="1">
      <x:c r="A23" s="16" t="inlineStr">
        <x:is>
          <x:t xml:space="preserve">C8</x:t>
        </x:is>
      </x:c>
      <x:c r="B23" s="16" t="inlineStr">
        <x:is>
          <x:t xml:space="preserve">C</x:t>
        </x:is>
      </x:c>
      <x:c r="C23" s="23" t="inlineStr">
        <x:is>
          <x:t xml:space="preserve">Simulasi Module C + writeup</x:t>
        </x:is>
      </x:c>
      <x:c r="D23" s="25" t="inlineStr">
        <x:is>
          <x:t xml:space="preserve">Medium</x:t>
        </x:is>
      </x:c>
      <x:c r="E23" s="12" t="n">
        <x:v>3</x:v>
      </x:c>
      <x:c r="F23" s="23" t="inlineStr">
        <x:is>
          <x:t xml:space="preserve">Mampu menuntaskan challenge blue team dan menulis narasi penyelesaian.</x:t>
        </x:is>
      </x:c>
      <x:c r="G23" s="23" t="inlineStr">
        <x:is>
          <x:t xml:space="preserve">Jawaban yang benar harus bisa diceritakan ulang dengan runtut.</x:t>
        </x:is>
      </x:c>
      <x:c r="H23" s="23" t="inlineStr">
        <x:is>
          <x:t xml:space="preserve">Simulasi 3 jam, wajib kirim writeup dan bukti.</x:t>
        </x:is>
      </x:c>
      <x:c r="I23" s="23" t="inlineStr">
        <x:is>
          <x:t xml:space="preserve">writeup + hasil analisis</x:t>
        </x:is>
      </x:c>
      <x:c r="J23" s="23" t="inlineStr">
        <x:is>
          <x:t xml:space="preserve">simulasi waktu</x:t>
        </x:is>
      </x:c>
    </x:row>
    <x:row r="24" ht="42" customHeight="1">
      <x:c r="A24" s="18" t="inlineStr">
        <x:is>
          <x:t xml:space="preserve">TOTAL</x:t>
        </x:is>
      </x:c>
      <x:c r="B24" s="18" t="n"/>
      <x:c r="C24" s="18" t="n"/>
      <x:c r="D24" s="18" t="n"/>
      <x:c r="E24" s="18">
        <x:f>SUM(E4:E23)</x:f>
        <x:v>60</x:v>
      </x:c>
      <x:c r="F24" s="18" t="str">
        <x:f>CONCAT("A=",SUMIF(B4:B23,"A",E4:E23)," jam | B=",SUMIF(B4:B23,"B",E4:E23)," jam | C=",SUMIF(B4:B23,"C",E4:E23)," jam")</x:f>
        <x:v>A=12 jam | B=24 jam | C=24 jam</x:v>
      </x:c>
      <x:c r="G24" s="34" t="n"/>
      <x:c r="H24" s="34" t="n"/>
      <x:c r="I24" s="34" t="n"/>
      <x:c r="J24" s="35" t="n"/>
    </x:row>
  </x:sheetData>
  <x:mergeCells>
    <x:mergeCell ref="F24:J24"/>
    <x:mergeCell ref="A1:J1"/>
  </x:mergeCells>
  <x:pageMargins left="0.7" right="0.7" top="0.75" bottom="0.75" header="0.3" footer="0.3"/>
  <x:legacyDrawing xmlns:r="http://schemas.openxmlformats.org/officeDocument/2006/relationships" r:id="R2614956799644ddc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20" customWidth="1"/>
    <x:col min="3" max="3" width="24" customWidth="1"/>
    <x:col min="4" max="4" width="26" customWidth="1"/>
    <x:col min="5" max="5" width="22" customWidth="1"/>
    <x:col min="6" max="6" width="22" customWidth="1"/>
    <x:col min="7" max="7" width="18" customWidth="1"/>
    <x:col min="8" max="8" width="10" customWidth="1"/>
  </x:cols>
  <x:sheetData>
    <x:row r="1" ht="26" customHeight="1">
      <x:c r="A1" s="36" t="inlineStr">
        <x:is>
          <x:t xml:space="preserve">Detail Modul A | Linux Hardening CTF</x:t>
        </x:is>
      </x:c>
      <x:c r="B1" s="33" t="n"/>
      <x:c r="C1" s="33" t="n"/>
      <x:c r="D1" s="33" t="n"/>
      <x:c r="E1" s="33" t="n"/>
      <x:c r="F1" s="33" t="n"/>
      <x:c r="G1" s="33" t="n"/>
      <x:c r="H1" s="33" t="n"/>
    </x:row>
    <x:row r="2" ht="22" customHeight="1"/>
    <x:row r="3" ht="22" customHeight="1">
      <x:c r="A3" s="28" t="inlineStr">
        <x:is>
          <x:t xml:space="preserve">Konteks</x:t>
        </x:is>
      </x:c>
      <x:c r="B3" s="10" t="inlineStr">
        <x:is>
          <x:t xml:space="preserve">Modul A mengadopsi pola lomba hardening Linux yang manual, tanpa internet, tanpa script otomatis, dan harus menjaga SSH tetap dapat diakses.</x:t>
        </x:is>
      </x:c>
      <x:c r="C3" s="34" t="n"/>
      <x:c r="D3" s="34" t="n"/>
      <x:c r="E3" s="34" t="n"/>
      <x:c r="F3" s="34" t="n"/>
      <x:c r="G3" s="34" t="n"/>
      <x:c r="H3" s="35" t="n"/>
    </x:row>
    <x:row r="4" ht="30" customHeight="1"/>
    <x:row r="5" ht="30" customHeight="1">
      <x:c r="A5" s="36" t="inlineStr">
        <x:is>
          <x:t xml:space="preserve">Constraint dan Mindset</x:t>
        </x:is>
      </x:c>
      <x:c r="B5" s="33" t="n"/>
      <x:c r="C5" s="33" t="n"/>
      <x:c r="D5" s="33" t="n"/>
      <x:c r="E5" s="33" t="n"/>
      <x:c r="F5" s="33" t="n"/>
      <x:c r="G5" s="33" t="n"/>
      <x:c r="H5" s="33" t="n"/>
    </x:row>
    <x:row r="6" ht="30" customHeight="1">
      <x:c r="A6" s="9" t="inlineStr">
        <x:is>
          <x:t xml:space="preserve">1</x:t>
        </x:is>
      </x:c>
      <x:c r="B6" s="23" t="inlineStr">
        <x:is>
          <x:t xml:space="preserve">No internet</x:t>
        </x:is>
      </x:c>
      <x:c r="C6" s="34" t="n"/>
      <x:c r="D6" s="34" t="n"/>
      <x:c r="E6" s="34" t="n"/>
      <x:c r="F6" s="34" t="n"/>
      <x:c r="G6" s="34" t="n"/>
      <x:c r="H6" s="35" t="n"/>
    </x:row>
    <x:row r="7" ht="30" customHeight="1">
      <x:c r="A7" s="9" t="inlineStr">
        <x:is>
          <x:t xml:space="preserve">2</x:t>
        </x:is>
      </x:c>
      <x:c r="B7" s="23" t="inlineStr">
        <x:is>
          <x:t xml:space="preserve">Kerja manual, tanpa automate tools</x:t>
        </x:is>
      </x:c>
      <x:c r="C7" s="34" t="n"/>
      <x:c r="D7" s="34" t="n"/>
      <x:c r="E7" s="34" t="n"/>
      <x:c r="F7" s="34" t="n"/>
      <x:c r="G7" s="34" t="n"/>
      <x:c r="H7" s="35" t="n"/>
    </x:row>
    <x:row r="8" ht="30" customHeight="1">
      <x:c r="A8" s="9" t="inlineStr">
        <x:is>
          <x:t xml:space="preserve">3</x:t>
        </x:is>
      </x:c>
      <x:c r="B8" s="23" t="inlineStr">
        <x:is>
          <x:t xml:space="preserve">Jangan blok SSH port</x:t>
        </x:is>
      </x:c>
      <x:c r="C8" s="34" t="n"/>
      <x:c r="D8" s="34" t="n"/>
      <x:c r="E8" s="34" t="n"/>
      <x:c r="F8" s="34" t="n"/>
      <x:c r="G8" s="34" t="n"/>
      <x:c r="H8" s="35" t="n"/>
    </x:row>
    <x:row r="9" ht="30" customHeight="1">
      <x:c r="A9" s="9" t="inlineStr">
        <x:is>
          <x:t xml:space="preserve">4</x:t>
        </x:is>
      </x:c>
      <x:c r="B9" s="23" t="inlineStr">
        <x:is>
          <x:t xml:space="preserve">Jangan reboot mesin</x:t>
        </x:is>
      </x:c>
      <x:c r="C9" s="34" t="n"/>
      <x:c r="D9" s="34" t="n"/>
      <x:c r="E9" s="34" t="n"/>
      <x:c r="F9" s="34" t="n"/>
      <x:c r="G9" s="34" t="n"/>
      <x:c r="H9" s="35" t="n"/>
    </x:row>
    <x:row r="10" ht="30" customHeight="1">
      <x:c r="A10" s="9" t="inlineStr">
        <x:is>
          <x:t xml:space="preserve">5</x:t>
        </x:is>
      </x:c>
      <x:c r="B10" s="23" t="inlineStr">
        <x:is>
          <x:t xml:space="preserve">Tidak menambah package baru</x:t>
        </x:is>
      </x:c>
      <x:c r="C10" s="34" t="n"/>
      <x:c r="D10" s="34" t="n"/>
      <x:c r="E10" s="34" t="n"/>
      <x:c r="F10" s="34" t="n"/>
      <x:c r="G10" s="34" t="n"/>
      <x:c r="H10" s="35" t="n"/>
    </x:row>
    <x:row r="11" ht="30" customHeight="1">
      <x:c r="A11" s="9" t="inlineStr">
        <x:is>
          <x:t xml:space="preserve">6</x:t>
        </x:is>
      </x:c>
      <x:c r="B11" s="23" t="inlineStr">
        <x:is>
          <x:t xml:space="preserve">Semua perubahan wajib diverifikasi</x:t>
        </x:is>
      </x:c>
      <x:c r="C11" s="34" t="n"/>
      <x:c r="D11" s="34" t="n"/>
      <x:c r="E11" s="34" t="n"/>
      <x:c r="F11" s="34" t="n"/>
      <x:c r="G11" s="34" t="n"/>
      <x:c r="H11" s="35" t="n"/>
    </x:row>
    <x:row r="12" ht="30" customHeight="1"/>
    <x:row r="13" ht="30" customHeight="1">
      <x:c r="A13" s="36" t="inlineStr">
        <x:is>
          <x:t xml:space="preserve">Rincian Materi dan Praktik</x:t>
        </x:is>
      </x:c>
      <x:c r="B13" s="33" t="n"/>
      <x:c r="C13" s="33" t="n"/>
      <x:c r="D13" s="33" t="n"/>
      <x:c r="E13" s="33" t="n"/>
      <x:c r="F13" s="33" t="n"/>
      <x:c r="G13" s="33" t="n"/>
      <x:c r="H13" s="33" t="n"/>
    </x:row>
    <x:row r="14" ht="30" customHeight="1">
      <x:c r="A14" s="7" t="inlineStr">
        <x:is>
          <x:t xml:space="preserve">Langkah</x:t>
        </x:is>
      </x:c>
      <x:c r="B14" s="7" t="inlineStr">
        <x:is>
          <x:t xml:space="preserve">Fokus teknis</x:t>
        </x:is>
      </x:c>
      <x:c r="C14" s="7" t="inlineStr">
        <x:is>
          <x:t xml:space="preserve">Materi inti</x:t>
        </x:is>
      </x:c>
      <x:c r="D14" s="7" t="inlineStr">
        <x:is>
          <x:t xml:space="preserve">Aktivitas siswa</x:t>
        </x:is>
      </x:c>
      <x:c r="E14" s="7" t="inlineStr">
        <x:is>
          <x:t xml:space="preserve">Bukti verifikasi</x:t>
        </x:is>
      </x:c>
      <x:c r="F14" s="7" t="inlineStr">
        <x:is>
          <x:t xml:space="preserve">Kesalahan umum</x:t>
        </x:is>
      </x:c>
      <x:c r="G14" s="7" t="inlineStr">
        <x:is>
          <x:t xml:space="preserve">Output</x:t>
        </x:is>
      </x:c>
      <x:c r="H14" s="7" t="inlineStr">
        <x:is>
          <x:t xml:space="preserve">Skor cek</x:t>
        </x:is>
      </x:c>
    </x:row>
    <x:row r="15" ht="30" customHeight="1">
      <x:c r="A15" s="9" t="inlineStr">
        <x:is>
          <x:t xml:space="preserve">1</x:t>
        </x:is>
      </x:c>
      <x:c r="B15" s="29" t="inlineStr">
        <x:is>
          <x:t xml:space="preserve">Audit baseline</x:t>
        </x:is>
      </x:c>
      <x:c r="C15" s="23" t="inlineStr">
        <x:is>
          <x:t xml:space="preserve">user, service, port, file config, backup</x:t>
        </x:is>
      </x:c>
      <x:c r="D15" s="23" t="inlineStr">
        <x:is>
          <x:t xml:space="preserve">cek whoami, id, systemctl, ss -tulpn, cp config penting</x:t>
        </x:is>
      </x:c>
      <x:c r="E15" s="23" t="inlineStr">
        <x:is>
          <x:t xml:space="preserve">daftar user, service, port, backup file</x:t>
        </x:is>
      </x:c>
      <x:c r="F15" s="23" t="inlineStr">
        <x:is>
          <x:t xml:space="preserve">langsung edit config tanpa backup</x:t>
        </x:is>
      </x:c>
      <x:c r="G15" s="23" t="inlineStr">
        <x:is>
          <x:t xml:space="preserve">checklist baseline</x:t>
        </x:is>
      </x:c>
      <x:c r="H15" s="30" t="inlineStr">
        <x:is>
          <x:t xml:space="preserve"/>
        </x:is>
      </x:c>
    </x:row>
    <x:row r="16" ht="30" customHeight="1">
      <x:c r="A16" s="9" t="inlineStr">
        <x:is>
          <x:t xml:space="preserve">2</x:t>
        </x:is>
      </x:c>
      <x:c r="B16" s="29" t="inlineStr">
        <x:is>
          <x:t xml:space="preserve">SSH hardening</x:t>
        </x:is>
      </x:c>
      <x:c r="C16" s="23" t="inlineStr">
        <x:is>
          <x:t xml:space="preserve">PermitRootLogin no, AllowUsers ubuntu</x:t>
        </x:is>
      </x:c>
      <x:c r="D16" s="23" t="inlineStr">
        <x:is>
          <x:t xml:space="preserve">edit sshd_config lalu reload aman</x:t>
        </x:is>
      </x:c>
      <x:c r="E16" s="23" t="inlineStr">
        <x:is>
          <x:t xml:space="preserve">grep config, sshd -t, uji login ubuntu</x:t>
        </x:is>
      </x:c>
      <x:c r="F16" s="23" t="inlineStr">
        <x:is>
          <x:t xml:space="preserve">menutup semua user atau memutus akses sendiri</x:t>
        </x:is>
      </x:c>
      <x:c r="G16" s="23" t="inlineStr">
        <x:is>
          <x:t xml:space="preserve">bukti SSH aman</x:t>
        </x:is>
      </x:c>
      <x:c r="H16" s="30" t="inlineStr">
        <x:is>
          <x:t xml:space="preserve"/>
        </x:is>
      </x:c>
    </x:row>
    <x:row r="17" ht="30" customHeight="1">
      <x:c r="A17" s="9" t="inlineStr">
        <x:is>
          <x:t xml:space="preserve">3</x:t>
        </x:is>
      </x:c>
      <x:c r="B17" s="29" t="inlineStr">
        <x:is>
          <x:t xml:space="preserve">Password policy</x:t>
        </x:is>
      </x:c>
      <x:c r="C17" s="23" t="inlineStr">
        <x:is>
          <x:t xml:space="preserve">pwquality minlen &gt;= 10, ganti password semua user</x:t>
        </x:is>
      </x:c>
      <x:c r="D17" s="23" t="inlineStr">
        <x:is>
          <x:t xml:space="preserve">ubah policy, passwd tiap user sesuai objective</x:t>
        </x:is>
      </x:c>
      <x:c r="E17" s="23" t="inlineStr">
        <x:is>
          <x:t xml:space="preserve">grep pwquality.conf, chage -l, bukti perubahan</x:t>
        </x:is>
      </x:c>
      <x:c r="F17" s="23" t="inlineStr">
        <x:is>
          <x:t xml:space="preserve">lupa satu user atau policy tidak aktif</x:t>
        </x:is>
      </x:c>
      <x:c r="G17" s="23" t="inlineStr">
        <x:is>
          <x:t xml:space="preserve">bukti policy + passwd</x:t>
        </x:is>
      </x:c>
      <x:c r="H17" s="30" t="inlineStr">
        <x:is>
          <x:t xml:space="preserve"/>
        </x:is>
      </x:c>
    </x:row>
    <x:row r="18" ht="30" customHeight="1">
      <x:c r="A18" s="9" t="inlineStr">
        <x:is>
          <x:t xml:space="preserve">4</x:t>
        </x:is>
      </x:c>
      <x:c r="B18" s="29" t="inlineStr">
        <x:is>
          <x:t xml:space="preserve">Samba hardening</x:t>
        </x:is>
      </x:c>
      <x:c r="C18" s="23" t="inlineStr">
        <x:is>
          <x:t xml:space="preserve">buat /opt/shares, share valid, hanya smbuser</x:t>
        </x:is>
      </x:c>
      <x:c r="D18" s="23" t="inlineStr">
        <x:is>
          <x:t xml:space="preserve">atur direktori, ownership, smb.conf, smbpasswd bila perlu</x:t>
        </x:is>
      </x:c>
      <x:c r="E18" s="23" t="inlineStr">
        <x:is>
          <x:t xml:space="preserve">testparm -s, ls -ld /opt/shares, uji akses smbuser</x:t>
        </x:is>
      </x:c>
      <x:c r="F18" s="23" t="inlineStr">
        <x:is>
          <x:t xml:space="preserve">guest masih terbuka atau share path salah</x:t>
        </x:is>
      </x:c>
      <x:c r="G18" s="23" t="inlineStr">
        <x:is>
          <x:t xml:space="preserve">bukti share</x:t>
        </x:is>
      </x:c>
      <x:c r="H18" s="30" t="inlineStr">
        <x:is>
          <x:t xml:space="preserve"/>
        </x:is>
      </x:c>
    </x:row>
    <x:row r="19" ht="30" customHeight="1">
      <x:c r="A19" s="9" t="inlineStr">
        <x:is>
          <x:t xml:space="preserve">5</x:t>
        </x:is>
      </x:c>
      <x:c r="B19" s="29" t="inlineStr">
        <x:is>
          <x:t xml:space="preserve">NGINX logging</x:t>
        </x:is>
      </x:c>
      <x:c r="C19" s="23" t="inlineStr">
        <x:is>
          <x:t xml:space="preserve">access log aktif di /var/log/nginx/access.log</x:t>
        </x:is>
      </x:c>
      <x:c r="D19" s="23" t="inlineStr">
        <x:is>
          <x:t xml:space="preserve">cek site config dan logging directive</x:t>
        </x:is>
      </x:c>
      <x:c r="E19" s="23" t="inlineStr">
        <x:is>
          <x:t xml:space="preserve">nginx -t, systemctl status nginx, tail access.log</x:t>
        </x:is>
      </x:c>
      <x:c r="F19" s="23" t="inlineStr">
        <x:is>
          <x:t xml:space="preserve">log path salah atau service error</x:t>
        </x:is>
      </x:c>
      <x:c r="G19" s="23" t="inlineStr">
        <x:is>
          <x:t xml:space="preserve">bukti log aktif</x:t>
        </x:is>
      </x:c>
      <x:c r="H19" s="30" t="inlineStr">
        <x:is>
          <x:t xml:space="preserve"/>
        </x:is>
      </x:c>
    </x:row>
    <x:row r="20" ht="30" customHeight="1">
      <x:c r="A20" s="9" t="inlineStr">
        <x:is>
          <x:t xml:space="preserve">6</x:t>
        </x:is>
      </x:c>
      <x:c r="B20" s="29" t="inlineStr">
        <x:is>
          <x:t xml:space="preserve">Firewall</x:t>
        </x:is>
      </x:c>
      <x:c r="C20" s="23" t="inlineStr">
        <x:is>
          <x:t xml:space="preserve">aktif, port perlu tetap tersedia</x:t>
        </x:is>
      </x:c>
      <x:c r="D20" s="23" t="inlineStr">
        <x:is>
          <x:t xml:space="preserve">atur UFW atau firewall bawaan sesuai objective</x:t>
        </x:is>
      </x:c>
      <x:c r="E20" s="23" t="inlineStr">
        <x:is>
          <x:t xml:space="preserve">ufw status verbose, cek port 22 tetap ada</x:t>
        </x:is>
      </x:c>
      <x:c r="F20" s="23" t="inlineStr">
        <x:is>
          <x:t xml:space="preserve">menutup SSH atau membiarkan semua terbuka</x:t>
        </x:is>
      </x:c>
      <x:c r="G20" s="23" t="inlineStr">
        <x:is>
          <x:t xml:space="preserve">bukti firewall</x:t>
        </x:is>
      </x:c>
      <x:c r="H20" s="30" t="inlineStr">
        <x:is>
          <x:t xml:space="preserve"/>
        </x:is>
      </x:c>
    </x:row>
    <x:row r="21" ht="30" customHeight="1">
      <x:c r="A21" s="9" t="inlineStr">
        <x:is>
          <x:t xml:space="preserve">7</x:t>
        </x:is>
      </x:c>
      <x:c r="B21" s="29" t="inlineStr">
        <x:is>
          <x:t xml:space="preserve">Verifikasi akhir</x:t>
        </x:is>
      </x:c>
      <x:c r="C21" s="23" t="inlineStr">
        <x:is>
          <x:t xml:space="preserve">service sehat, objective terpenuhi</x:t>
        </x:is>
      </x:c>
      <x:c r="D21" s="23" t="inlineStr">
        <x:is>
          <x:t xml:space="preserve">uji ulang satu per satu dengan checklist final</x:t>
        </x:is>
      </x:c>
      <x:c r="E21" s="23" t="inlineStr">
        <x:is>
          <x:t xml:space="preserve">checklist final lengkap</x:t>
        </x:is>
      </x:c>
      <x:c r="F21" s="23" t="inlineStr">
        <x:is>
          <x:t xml:space="preserve">mengira berhasil tanpa uji ulang</x:t>
        </x:is>
      </x:c>
      <x:c r="G21" s="23" t="inlineStr">
        <x:is>
          <x:t xml:space="preserve">lembar verifikasi</x:t>
        </x:is>
      </x:c>
      <x:c r="H21" s="30" t="inlineStr">
        <x:is>
          <x:t xml:space="preserve"/>
        </x:is>
      </x:c>
    </x:row>
    <x:row r="22" ht="30" customHeight="1">
      <x:c r="A22" s="9" t="inlineStr">
        <x:is>
          <x:t xml:space="preserve">8</x:t>
        </x:is>
      </x:c>
      <x:c r="B22" s="29" t="inlineStr">
        <x:is>
          <x:t xml:space="preserve">Simulasi 120 menit</x:t>
        </x:is>
      </x:c>
      <x:c r="C22" s="23" t="inlineStr">
        <x:is>
          <x:t xml:space="preserve">seluruh objective dalam mode lomba</x:t>
        </x:is>
      </x:c>
      <x:c r="D22" s="23" t="inlineStr">
        <x:is>
          <x:t xml:space="preserve">kerjakan dari audit sampai verifikasi dan dokumentasi</x:t>
        </x:is>
      </x:c>
      <x:c r="E22" s="23" t="inlineStr">
        <x:is>
          <x:t xml:space="preserve">hasil akhir + catatan waktu</x:t>
        </x:is>
      </x:c>
      <x:c r="F22" s="23" t="inlineStr">
        <x:is>
          <x:t xml:space="preserve">terlalu lama di satu service</x:t>
        </x:is>
      </x:c>
      <x:c r="G22" s="23" t="inlineStr">
        <x:is>
          <x:t xml:space="preserve">hasil simulasi</x:t>
        </x:is>
      </x:c>
      <x:c r="H22" s="30" t="inlineStr">
        <x:is>
          <x:t xml:space="preserve"/>
        </x:is>
      </x:c>
    </x:row>
    <x:row r="23" ht="30" customHeight="1"/>
    <x:row r="24" ht="30" customHeight="1">
      <x:c r="A24" s="36" t="inlineStr">
        <x:is>
          <x:t xml:space="preserve">Objective Dummy Practice</x:t>
        </x:is>
      </x:c>
      <x:c r="B24" s="33" t="n"/>
      <x:c r="C24" s="33" t="n"/>
      <x:c r="D24" s="33" t="n"/>
      <x:c r="E24" s="33" t="n"/>
      <x:c r="F24" s="33" t="n"/>
      <x:c r="G24" s="33" t="n"/>
      <x:c r="H24" s="33" t="n"/>
    </x:row>
    <x:row r="25" ht="30" customHeight="1">
      <x:c r="A25" s="7" t="inlineStr">
        <x:is>
          <x:t xml:space="preserve">No</x:t>
        </x:is>
      </x:c>
      <x:c r="B25" s="7" t="inlineStr">
        <x:is>
          <x:t xml:space="preserve">Objective</x:t>
        </x:is>
      </x:c>
      <x:c r="C25" s="7" t="inlineStr">
        <x:is>
          <x:t xml:space="preserve">File / layanan</x:t>
        </x:is>
      </x:c>
      <x:c r="D25" s="7" t="inlineStr">
        <x:is>
          <x:t xml:space="preserve">Perintah cek</x:t>
        </x:is>
      </x:c>
      <x:c r="E25" s="7" t="inlineStr">
        <x:is>
          <x:t xml:space="preserve">Bukti minimal</x:t>
        </x:is>
      </x:c>
      <x:c r="F25" s="7" t="inlineStr">
        <x:is>
          <x:t xml:space="preserve">Status</x:t>
        </x:is>
      </x:c>
    </x:row>
    <x:row r="26" ht="30" customHeight="1">
      <x:c r="A26" s="9" t="n">
        <x:v>1</x:v>
      </x:c>
      <x:c r="B26" s="29" t="inlineStr">
        <x:is>
          <x:t xml:space="preserve">Root login SSH nonaktif</x:t>
        </x:is>
      </x:c>
      <x:c r="C26" s="23" t="inlineStr">
        <x:is>
          <x:t xml:space="preserve">/etc/ssh/sshd_config</x:t>
        </x:is>
      </x:c>
      <x:c r="D26" s="23" t="inlineStr">
        <x:is>
          <x:t xml:space="preserve">grep -E '^PermitRootLogin' /etc/ssh/sshd_config</x:t>
        </x:is>
      </x:c>
      <x:c r="E26" s="23" t="inlineStr">
        <x:is>
          <x:t xml:space="preserve">baris PermitRootLogin no</x:t>
        </x:is>
      </x:c>
      <x:c r="F26" s="12" t="inlineStr">
        <x:is>
          <x:t xml:space="preserve"/>
        </x:is>
      </x:c>
    </x:row>
    <x:row r="27" ht="30" customHeight="1">
      <x:c r="A27" s="9" t="n">
        <x:v>2</x:v>
      </x:c>
      <x:c r="B27" s="29" t="inlineStr">
        <x:is>
          <x:t xml:space="preserve">Akses SSH hanya user ubuntu</x:t>
        </x:is>
      </x:c>
      <x:c r="C27" s="23" t="inlineStr">
        <x:is>
          <x:t xml:space="preserve">/etc/ssh/sshd_config</x:t>
        </x:is>
      </x:c>
      <x:c r="D27" s="23" t="inlineStr">
        <x:is>
          <x:t xml:space="preserve">grep -E '^AllowUsers' /etc/ssh/sshd_config</x:t>
        </x:is>
      </x:c>
      <x:c r="E27" s="23" t="inlineStr">
        <x:is>
          <x:t xml:space="preserve">AllowUsers ubuntu</x:t>
        </x:is>
      </x:c>
      <x:c r="F27" s="12" t="inlineStr">
        <x:is>
          <x:t xml:space="preserve"/>
        </x:is>
      </x:c>
    </x:row>
    <x:row r="28" ht="30" customHeight="1">
      <x:c r="A28" s="9" t="n">
        <x:v>3</x:v>
      </x:c>
      <x:c r="B28" s="29" t="inlineStr">
        <x:is>
          <x:t xml:space="preserve">Share Samba ke /opt/shares</x:t>
        </x:is>
      </x:c>
      <x:c r="C28" s="23" t="inlineStr">
        <x:is>
          <x:t xml:space="preserve">/etc/samba/smb.conf</x:t>
        </x:is>
      </x:c>
      <x:c r="D28" s="23" t="inlineStr">
        <x:is>
          <x:t xml:space="preserve">testparm -s</x:t>
        </x:is>
      </x:c>
      <x:c r="E28" s="23" t="inlineStr">
        <x:is>
          <x:t xml:space="preserve">share path benar</x:t>
        </x:is>
      </x:c>
      <x:c r="F28" s="12" t="inlineStr">
        <x:is>
          <x:t xml:space="preserve"/>
        </x:is>
      </x:c>
    </x:row>
    <x:row r="29" ht="30" customHeight="1">
      <x:c r="A29" s="9" t="n">
        <x:v>4</x:v>
      </x:c>
      <x:c r="B29" s="29" t="inlineStr">
        <x:is>
          <x:t xml:space="preserve">Hanya smbuser dapat login SMB</x:t>
        </x:is>
      </x:c>
      <x:c r="C29" s="23" t="inlineStr">
        <x:is>
          <x:t xml:space="preserve">Samba auth</x:t>
        </x:is>
      </x:c>
      <x:c r="D29" s="23" t="inlineStr">
        <x:is>
          <x:t xml:space="preserve">pdbedit -L atau uji login</x:t>
        </x:is>
      </x:c>
      <x:c r="E29" s="23" t="inlineStr">
        <x:is>
          <x:t xml:space="preserve">akun yang sah hanya smbuser</x:t>
        </x:is>
      </x:c>
      <x:c r="F29" s="12" t="inlineStr">
        <x:is>
          <x:t xml:space="preserve"/>
        </x:is>
      </x:c>
    </x:row>
    <x:row r="30" ht="30" customHeight="1">
      <x:c r="A30" s="9" t="n">
        <x:v>5</x:v>
      </x:c>
      <x:c r="B30" s="29" t="inlineStr">
        <x:is>
          <x:t xml:space="preserve">NGINX access log aktif</x:t>
        </x:is>
      </x:c>
      <x:c r="C30" s="23" t="inlineStr">
        <x:is>
          <x:t xml:space="preserve">/etc/nginx/*</x:t>
        </x:is>
      </x:c>
      <x:c r="D30" s="23" t="inlineStr">
        <x:is>
          <x:t xml:space="preserve">tail -f /var/log/nginx/access.log</x:t>
        </x:is>
      </x:c>
      <x:c r="E30" s="23" t="inlineStr">
        <x:is>
          <x:t xml:space="preserve">log muncul saat request</x:t>
        </x:is>
      </x:c>
      <x:c r="F30" s="12" t="inlineStr">
        <x:is>
          <x:t xml:space="preserve"/>
        </x:is>
      </x:c>
    </x:row>
    <x:row r="31" ht="30" customHeight="1">
      <x:c r="A31" s="9" t="n">
        <x:v>6</x:v>
      </x:c>
      <x:c r="B31" s="29" t="inlineStr">
        <x:is>
          <x:t xml:space="preserve">Semua password diubah</x:t>
        </x:is>
      </x:c>
      <x:c r="C31" s="23" t="inlineStr">
        <x:is>
          <x:t xml:space="preserve">user accounts</x:t>
        </x:is>
      </x:c>
      <x:c r="D31" s="23" t="inlineStr">
        <x:is>
          <x:t xml:space="preserve">sudo passwd &lt;user&gt;</x:t>
        </x:is>
      </x:c>
      <x:c r="E31" s="23" t="inlineStr">
        <x:is>
          <x:t xml:space="preserve">semua user berubah</x:t>
        </x:is>
      </x:c>
      <x:c r="F31" s="12" t="inlineStr">
        <x:is>
          <x:t xml:space="preserve"/>
        </x:is>
      </x:c>
    </x:row>
    <x:row r="32" ht="30" customHeight="1">
      <x:c r="A32" s="9" t="n">
        <x:v>7</x:v>
      </x:c>
      <x:c r="B32" s="29" t="inlineStr">
        <x:is>
          <x:t xml:space="preserve">Panjang password minimal 10</x:t>
        </x:is>
      </x:c>
      <x:c r="C32" s="23" t="inlineStr">
        <x:is>
          <x:t xml:space="preserve">pwquality</x:t>
        </x:is>
      </x:c>
      <x:c r="D32" s="23" t="inlineStr">
        <x:is>
          <x:t xml:space="preserve">grep minlen /etc/security/pwquality.conf</x:t>
        </x:is>
      </x:c>
      <x:c r="E32" s="23" t="inlineStr">
        <x:is>
          <x:t xml:space="preserve">minlen &gt;= 10</x:t>
        </x:is>
      </x:c>
      <x:c r="F32" s="12" t="inlineStr">
        <x:is>
          <x:t xml:space="preserve"/>
        </x:is>
      </x:c>
    </x:row>
    <x:row r="33" ht="30" customHeight="1">
      <x:c r="A33" s="9" t="n">
        <x:v>8</x:v>
      </x:c>
      <x:c r="B33" s="29" t="inlineStr">
        <x:is>
          <x:t xml:space="preserve">Firewall aktif</x:t>
        </x:is>
      </x:c>
      <x:c r="C33" s="23" t="inlineStr">
        <x:is>
          <x:t xml:space="preserve">ufw</x:t>
        </x:is>
      </x:c>
      <x:c r="D33" s="23" t="inlineStr">
        <x:is>
          <x:t xml:space="preserve">ufw status verbose</x:t>
        </x:is>
      </x:c>
      <x:c r="E33" s="23" t="inlineStr">
        <x:is>
          <x:t xml:space="preserve">status active</x:t>
        </x:is>
      </x:c>
      <x:c r="F33" s="12" t="inlineStr">
        <x:is>
          <x:t xml:space="preserve"/>
        </x:is>
      </x:c>
    </x:row>
    <x:row r="34" ht="30" customHeight="1">
      <x:c r="E34" s="18" t="inlineStr">
        <x:is>
          <x:t xml:space="preserve">Jumlah objective terisi</x:t>
        </x:is>
      </x:c>
      <x:c r="F34" s="19">
        <x:f>COUNTA(F26:F33)</x:f>
        <x:v>0</x:v>
      </x:c>
    </x:row>
  </x:sheetData>
  <x:mergeCells>
    <x:mergeCell ref="A1:H1"/>
    <x:mergeCell ref="B8:H8"/>
    <x:mergeCell ref="B9:H9"/>
    <x:mergeCell ref="A24:H24"/>
    <x:mergeCell ref="B6:H6"/>
    <x:mergeCell ref="A13:H13"/>
    <x:mergeCell ref="B7:H7"/>
    <x:mergeCell ref="A5:H5"/>
    <x:mergeCell ref="B10:H10"/>
    <x:mergeCell ref="B3:H3"/>
    <x:mergeCell ref="B11:H1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18" customWidth="1"/>
    <x:col min="3" max="3" width="24" customWidth="1"/>
    <x:col min="4" max="4" width="26" customWidth="1"/>
    <x:col min="5" max="5" width="22" customWidth="1"/>
    <x:col min="6" max="6" width="24" customWidth="1"/>
    <x:col min="7" max="7" width="18" customWidth="1"/>
    <x:col min="8" max="8" width="20" customWidth="1"/>
    <x:col min="9" max="9" width="24" customWidth="1"/>
  </x:cols>
  <x:sheetData>
    <x:row r="1" ht="26" customHeight="1">
      <x:c r="A1" s="36" t="inlineStr">
        <x:is>
          <x:t xml:space="preserve">Detail Modul B | Jeopardy Red Team</x:t>
        </x:is>
      </x:c>
      <x:c r="B1" s="33" t="n"/>
      <x:c r="C1" s="33" t="n"/>
      <x:c r="D1" s="33" t="n"/>
      <x:c r="E1" s="33" t="n"/>
      <x:c r="F1" s="33" t="n"/>
      <x:c r="G1" s="33" t="n"/>
      <x:c r="H1" s="33" t="n"/>
      <x:c r="I1" s="33" t="n"/>
    </x:row>
    <x:row r="2" ht="22" customHeight="1"/>
    <x:row r="3" ht="22" customHeight="1">
      <x:c r="A3" s="36" t="inlineStr">
        <x:is>
          <x:t xml:space="preserve">Fokus Pembelajaran</x:t>
        </x:is>
      </x:c>
      <x:c r="B3" s="33" t="n"/>
      <x:c r="C3" s="33" t="n"/>
      <x:c r="D3" s="33" t="n"/>
      <x:c r="E3" s="33" t="n"/>
      <x:c r="F3" s="33" t="n"/>
      <x:c r="G3" s="33" t="n"/>
      <x:c r="H3" s="33" t="n"/>
      <x:c r="I3" s="33" t="n"/>
    </x:row>
    <x:row r="4" ht="30" customHeight="1">
      <x:c r="A4" s="7" t="inlineStr">
        <x:is>
          <x:t xml:space="preserve">Sesi</x:t>
        </x:is>
      </x:c>
      <x:c r="B4" s="7" t="inlineStr">
        <x:is>
          <x:t xml:space="preserve">Arena</x:t>
        </x:is>
      </x:c>
      <x:c r="C4" s="7" t="inlineStr">
        <x:is>
          <x:t xml:space="preserve">Fokus easy</x:t>
        </x:is>
      </x:c>
      <x:c r="D4" s="7" t="inlineStr">
        <x:is>
          <x:t xml:space="preserve">Fokus medium</x:t>
        </x:is>
      </x:c>
      <x:c r="E4" s="7" t="inlineStr">
        <x:is>
          <x:t xml:space="preserve">Contoh latihan</x:t>
        </x:is>
      </x:c>
      <x:c r="F4" s="7" t="inlineStr">
        <x:is>
          <x:t xml:space="preserve">Pertanyaan pertama</x:t>
        </x:is>
      </x:c>
      <x:c r="G4" s="7" t="inlineStr">
        <x:is>
          <x:t xml:space="preserve">Tool utama</x:t>
        </x:is>
      </x:c>
      <x:c r="H4" s="7" t="inlineStr">
        <x:is>
          <x:t xml:space="preserve">Output siswa</x:t>
        </x:is>
      </x:c>
      <x:c r="I4" s="7" t="inlineStr">
        <x:is>
          <x:t xml:space="preserve">Catatan guru</x:t>
        </x:is>
      </x:c>
    </x:row>
    <x:row r="5" ht="30" customHeight="1">
      <x:c r="A5" s="13" t="inlineStr">
        <x:is>
          <x:t xml:space="preserve">B1</x:t>
        </x:is>
      </x:c>
      <x:c r="B5" s="13" t="inlineStr">
        <x:is>
          <x:t xml:space="preserve">Cryptography</x:t>
        </x:is>
      </x:c>
      <x:c r="C5" s="23" t="inlineStr">
        <x:is>
          <x:t xml:space="preserve">Caesar, Atbash, XOR, syarat numerik</x:t>
        </x:is>
      </x:c>
      <x:c r="D5" s="23" t="inlineStr">
        <x:is>
          <x:t xml:space="preserve">PRNG, RSA logic, mode AES</x:t>
        </x:is>
      </x:c>
      <x:c r="E5" s="23" t="inlineStr">
        <x:is>
          <x:t xml:space="preserve">absolute-cinema, heavydirtysoul</x:t>
        </x:is>
      </x:c>
      <x:c r="F5" s="23" t="inlineStr">
        <x:is>
          <x:t xml:space="preserve">Pola matematikanya apa?</x:t>
        </x:is>
      </x:c>
      <x:c r="G5" s="23" t="inlineStr">
        <x:is>
          <x:t xml:space="preserve">Python, CyberChef</x:t>
        </x:is>
      </x:c>
      <x:c r="H5" s="23" t="inlineStr">
        <x:is>
          <x:t xml:space="preserve">script bantu + alasan</x:t>
        </x:is>
      </x:c>
      <x:c r="I5" s="23" t="inlineStr">
        <x:is>
          <x:t xml:space="preserve">Mulai dari soal yang punya source karena siswa belajar pola lebih cepat</x:t>
        </x:is>
      </x:c>
    </x:row>
    <x:row r="6" ht="30" customHeight="1">
      <x:c r="A6" s="13" t="inlineStr">
        <x:is>
          <x:t xml:space="preserve">B2</x:t>
        </x:is>
      </x:c>
      <x:c r="B6" s="13" t="inlineStr">
        <x:is>
          <x:t xml:space="preserve">Cryptography</x:t>
        </x:is>
      </x:c>
      <x:c r="C6" s="23" t="inlineStr">
        <x:is>
          <x:t xml:space="preserve">membaca source dan rumus</x:t>
        </x:is>
      </x:c>
      <x:c r="D6" s="23" t="inlineStr">
        <x:is>
          <x:t xml:space="preserve">state prediction, attack pattern</x:t>
        </x:is>
      </x:c>
      <x:c r="E6" s="23" t="inlineStr">
        <x:is>
          <x:t xml:space="preserve">lets-go-gambling</x:t>
        </x:is>
      </x:c>
      <x:c r="F6" s="23" t="inlineStr">
        <x:is>
          <x:t xml:space="preserve">Output acak ini benar acak atau terstruktur?</x:t>
        </x:is>
      </x:c>
      <x:c r="G6" s="23" t="inlineStr">
        <x:is>
          <x:t xml:space="preserve">Python, rand analysis</x:t>
        </x:is>
      </x:c>
      <x:c r="H6" s="23" t="inlineStr">
        <x:is>
          <x:t xml:space="preserve">hipotesis + validasi</x:t>
        </x:is>
      </x:c>
      <x:c r="I6" s="23" t="inlineStr">
        <x:is>
          <x:t xml:space="preserve">Tekankan bahwa prediksi lahir dari observasi output</x:t>
        </x:is>
      </x:c>
    </x:row>
    <x:row r="7" ht="30" customHeight="1">
      <x:c r="A7" s="13" t="inlineStr">
        <x:is>
          <x:t xml:space="preserve">B3</x:t>
        </x:is>
      </x:c>
      <x:c r="B7" s="13" t="inlineStr">
        <x:is>
          <x:t xml:space="preserve">Web Exploitation</x:t>
        </x:is>
      </x:c>
      <x:c r="C7" s="23" t="inlineStr">
        <x:is>
          <x:t xml:space="preserve">route map, cookie, auth, parameter</x:t>
        </x:is>
      </x:c>
      <x:c r="D7" s="23" t="inlineStr">
        <x:is>
          <x:t xml:space="preserve">logic flaw, SSTI, SQLi, JWT, API flaws</x:t>
        </x:is>
      </x:c>
      <x:c r="E7" s="23" t="inlineStr">
        <x:is>
          <x:t xml:space="preserve">SURFING, MASS</x:t>
        </x:is>
      </x:c>
      <x:c r="F7" s="23" t="inlineStr">
        <x:is>
          <x:t xml:space="preserve">Input mana yang dipercaya server?</x:t>
        </x:is>
      </x:c>
      <x:c r="G7" s="23" t="inlineStr">
        <x:is>
          <x:t xml:space="preserve">Browser DevTools, Burp</x:t>
        </x:is>
      </x:c>
      <x:c r="H7" s="23" t="inlineStr">
        <x:is>
          <x:t xml:space="preserve">route map + note</x:t>
        </x:is>
      </x:c>
      <x:c r="I7" s="23" t="inlineStr">
        <x:is>
          <x:t xml:space="preserve">Paksa siswa menulis semua parameter sebelum mencoba payload</x:t>
        </x:is>
      </x:c>
    </x:row>
    <x:row r="8" ht="30" customHeight="1">
      <x:c r="A8" s="13" t="inlineStr">
        <x:is>
          <x:t xml:space="preserve">B4</x:t>
        </x:is>
      </x:c>
      <x:c r="B8" s="13" t="inlineStr">
        <x:is>
          <x:t xml:space="preserve">Web Exploitation</x:t>
        </x:is>
      </x:c>
      <x:c r="C8" s="23" t="inlineStr">
        <x:is>
          <x:t xml:space="preserve">uji kecil pada satu field</x:t>
        </x:is>
      </x:c>
      <x:c r="D8" s="23" t="inlineStr">
        <x:is>
          <x:t xml:space="preserve">membaca gejala dan mempersempit kelas bug</x:t>
        </x:is>
      </x:c>
      <x:c r="E8" s="23" t="inlineStr">
        <x:is>
          <x:t xml:space="preserve">HEHESS</x:t>
        </x:is>
      </x:c>
      <x:c r="F8" s="23" t="inlineStr">
        <x:is>
          <x:t xml:space="preserve">Kalau satu input berubah, apa efeknya di server?</x:t>
        </x:is>
      </x:c>
      <x:c r="G8" s="23" t="inlineStr">
        <x:is>
          <x:t xml:space="preserve">Burp, source reading</x:t>
        </x:is>
      </x:c>
      <x:c r="H8" s="23" t="inlineStr">
        <x:is>
          <x:t xml:space="preserve">matrix uji</x:t>
        </x:is>
      </x:c>
      <x:c r="I8" s="23" t="inlineStr">
        <x:is>
          <x:t xml:space="preserve">Jangan izinkan tebak payload tanpa peta</x:t>
        </x:is>
      </x:c>
    </x:row>
    <x:row r="9" ht="30" customHeight="1">
      <x:c r="A9" s="13" t="inlineStr">
        <x:is>
          <x:t xml:space="preserve">B5</x:t>
        </x:is>
      </x:c>
      <x:c r="B9" s="13" t="inlineStr">
        <x:is>
          <x:t xml:space="preserve">Binary Exploitation</x:t>
        </x:is>
      </x:c>
      <x:c r="C9" s="23" t="inlineStr">
        <x:is>
          <x:t xml:space="preserve">strings, file, checksec, input path</x:t>
        </x:is>
      </x:c>
      <x:c r="D9" s="23" t="inlineStr">
        <x:is>
          <x:t xml:space="preserve">offset, calling convention</x:t>
        </x:is>
      </x:c>
      <x:c r="E9" s="23" t="inlineStr">
        <x:is>
          <x:t xml:space="preserve">BB1</x:t>
        </x:is>
      </x:c>
      <x:c r="F9" s="23" t="inlineStr">
        <x:is>
          <x:t xml:space="preserve">Proteksi apa aktif? Input masuk ke mana?</x:t>
        </x:is>
      </x:c>
      <x:c r="G9" s="23" t="inlineStr">
        <x:is>
          <x:t xml:space="preserve">strings, file, checksec, GDB</x:t>
        </x:is>
      </x:c>
      <x:c r="H9" s="23" t="inlineStr">
        <x:is>
          <x:t xml:space="preserve">lembar triage</x:t>
        </x:is>
      </x:c>
      <x:c r="I9" s="23" t="inlineStr">
        <x:is>
          <x:t xml:space="preserve">Bina kebiasaan cek proteksi dulu</x:t>
        </x:is>
      </x:c>
    </x:row>
    <x:row r="10" ht="30" customHeight="1">
      <x:c r="A10" s="13" t="inlineStr">
        <x:is>
          <x:t xml:space="preserve">B6</x:t>
        </x:is>
      </x:c>
      <x:c r="B10" s="13" t="inlineStr">
        <x:is>
          <x:t xml:space="preserve">Binary Exploitation</x:t>
        </x:is>
      </x:c>
      <x:c r="C10" s="23" t="inlineStr">
        <x:is>
          <x:t xml:space="preserve">pengantar shellcode</x:t>
        </x:is>
      </x:c>
      <x:c r="D10" s="23" t="inlineStr">
        <x:is>
          <x:t xml:space="preserve">ROP, ret2win, bypass mitigasi</x:t>
        </x:is>
      </x:c>
      <x:c r="E10" s="23" t="inlineStr">
        <x:is>
          <x:t xml:space="preserve">BB2, BB3</x:t>
        </x:is>
      </x:c>
      <x:c r="F10" s="23" t="inlineStr">
        <x:is>
          <x:t xml:space="preserve">Kalau NX aktif, rencana kita berubah ke mana?</x:t>
        </x:is>
      </x:c>
      <x:c r="G10" s="23" t="inlineStr">
        <x:is>
          <x:t xml:space="preserve">GDB, pwntools</x:t>
        </x:is>
      </x:c>
      <x:c r="H10" s="23" t="inlineStr">
        <x:is>
          <x:t xml:space="preserve">diagram alur</x:t>
        </x:is>
      </x:c>
      <x:c r="I10" s="23" t="inlineStr">
        <x:is>
          <x:t xml:space="preserve">Utamakan konsep, bukan hapalan gadget</x:t>
        </x:is>
      </x:c>
    </x:row>
    <x:row r="11" ht="30" customHeight="1">
      <x:c r="A11" s="13" t="inlineStr">
        <x:is>
          <x:t xml:space="preserve">B7</x:t>
        </x:is>
      </x:c>
      <x:c r="B11" s="13" t="inlineStr">
        <x:is>
          <x:t xml:space="preserve">Boot2Root + Misc</x:t>
        </x:is>
      </x:c>
      <x:c r="C11" s="23" t="inlineStr">
        <x:is>
          <x:t xml:space="preserve">enumerasi service dan petunjuk</x:t>
        </x:is>
      </x:c>
      <x:c r="D11" s="23" t="inlineStr">
        <x:is>
          <x:t xml:space="preserve">pyjail reasoning, OSINT etis</x:t>
        </x:is>
      </x:c>
      <x:c r="E11" s="23" t="inlineStr">
        <x:is>
          <x:t xml:space="preserve">shellrunner, kaburaja, tiga-serangkai</x:t>
        </x:is>
      </x:c>
      <x:c r="F11" s="23" t="inlineStr">
        <x:is>
          <x:t xml:space="preserve">Akses awal paling mungkin datang dari mana?</x:t>
        </x:is>
      </x:c>
      <x:c r="G11" s="23" t="inlineStr">
        <x:is>
          <x:t xml:space="preserve">nmap, nc, notes</x:t>
        </x:is>
      </x:c>
      <x:c r="H11" s="23" t="inlineStr">
        <x:is>
          <x:t xml:space="preserve">prioritas langkah</x:t>
        </x:is>
      </x:c>
      <x:c r="I11" s="23" t="inlineStr">
        <x:is>
          <x:t xml:space="preserve">Campurkan soal supaya siswa belajar memilih jalur tercepat</x:t>
        </x:is>
      </x:c>
    </x:row>
    <x:row r="12" ht="30" customHeight="1">
      <x:c r="A12" s="13" t="inlineStr">
        <x:is>
          <x:t xml:space="preserve">B8</x:t>
        </x:is>
      </x:c>
      <x:c r="B12" s="13" t="inlineStr">
        <x:is>
          <x:t xml:space="preserve">Simulasi dan writeup</x:t>
        </x:is>
      </x:c>
      <x:c r="C12" s="23" t="inlineStr">
        <x:is>
          <x:t xml:space="preserve">eksekusi 2 sampai 4 challenge ringan</x:t>
        </x:is>
      </x:c>
      <x:c r="D12" s="23" t="inlineStr">
        <x:is>
          <x:t xml:space="preserve">campuran easy-medium</x:t>
        </x:is>
      </x:c>
      <x:c r="E12" s="23" t="inlineStr">
        <x:is>
          <x:t xml:space="preserve">paket kelas</x:t>
        </x:is>
      </x:c>
      <x:c r="F12" s="23" t="inlineStr">
        <x:is>
          <x:t xml:space="preserve">Apa bukti yang cukup untuk menuliskan solusi?</x:t>
        </x:is>
      </x:c>
      <x:c r="G12" s="23" t="inlineStr">
        <x:is>
          <x:t xml:space="preserve">tool campuran</x:t>
        </x:is>
      </x:c>
      <x:c r="H12" s="23" t="inlineStr">
        <x:is>
          <x:t xml:space="preserve">writeup lengkap</x:t>
        </x:is>
      </x:c>
      <x:c r="I12" s="23" t="inlineStr">
        <x:is>
          <x:t xml:space="preserve">Nilai tidak hanya dari hasil, tetapi dari narasi dan bukti</x:t>
        </x:is>
      </x:c>
    </x:row>
    <x:row r="13" ht="30" customHeight="1"/>
    <x:row r="14" ht="30" customHeight="1"/>
    <x:row r="15" ht="30" customHeight="1">
      <x:c r="A15" s="36" t="inlineStr">
        <x:is>
          <x:t xml:space="preserve">Kerangka Intuisi Red Team</x:t>
        </x:is>
      </x:c>
      <x:c r="B15" s="33" t="n"/>
      <x:c r="C15" s="33" t="n"/>
      <x:c r="D15" s="33" t="n"/>
      <x:c r="E15" s="33" t="n"/>
      <x:c r="F15" s="33" t="n"/>
      <x:c r="G15" s="33" t="n"/>
      <x:c r="H15" s="33" t="n"/>
      <x:c r="I15" s="33" t="n"/>
    </x:row>
    <x:row r="16" ht="30" customHeight="1">
      <x:c r="A16" s="7" t="inlineStr">
        <x:is>
          <x:t xml:space="preserve">Langkah pikir</x:t>
        </x:is>
      </x:c>
      <x:c r="B16" s="7" t="inlineStr">
        <x:is>
          <x:t xml:space="preserve">Pertanyaan pemandu</x:t>
        </x:is>
      </x:c>
      <x:c r="C16" s="7" t="inlineStr">
        <x:is>
          <x:t xml:space="preserve">Bukti yang dicari</x:t>
        </x:is>
      </x:c>
      <x:c r="D16" s="7" t="inlineStr">
        <x:is>
          <x:t xml:space="preserve">Kesalahan umum</x:t>
        </x:is>
      </x:c>
      <x:c r="E16" s="7" t="inlineStr">
        <x:is>
          <x:t xml:space="preserve">Output singkat</x:t>
        </x:is>
      </x:c>
    </x:row>
    <x:row r="17" ht="30" customHeight="1">
      <x:c r="A17" s="23" t="inlineStr">
        <x:is>
          <x:t xml:space="preserve">1. Klasifikasi</x:t>
        </x:is>
      </x:c>
      <x:c r="B17" s="23" t="inlineStr">
        <x:is>
          <x:t xml:space="preserve">Ini soal tipe apa?</x:t>
        </x:is>
      </x:c>
      <x:c r="C17" s="23" t="inlineStr">
        <x:is>
          <x:t xml:space="preserve">nama file, source, port, log, endpoint</x:t>
        </x:is>
      </x:c>
      <x:c r="D17" s="23" t="inlineStr">
        <x:is>
          <x:t xml:space="preserve">langsung mencoba payload acak</x:t>
        </x:is>
      </x:c>
      <x:c r="E17" s="23" t="inlineStr">
        <x:is>
          <x:t xml:space="preserve">nama kategori</x:t>
        </x:is>
      </x:c>
    </x:row>
    <x:row r="18" ht="30" customHeight="1">
      <x:c r="A18" s="23" t="inlineStr">
        <x:is>
          <x:t xml:space="preserve">2. Peta awal</x:t>
        </x:is>
      </x:c>
      <x:c r="B18" s="23" t="inlineStr">
        <x:is>
          <x:t xml:space="preserve">Bagian mana yang bisa saya amati dulu?</x:t>
        </x:is>
      </x:c>
      <x:c r="C18" s="23" t="inlineStr">
        <x:is>
          <x:t xml:space="preserve">route, parameter, strings, proteksi</x:t>
        </x:is>
      </x:c>
      <x:c r="D18" s="23" t="inlineStr">
        <x:is>
          <x:t xml:space="preserve">melewatkan observasi murah</x:t>
        </x:is>
      </x:c>
      <x:c r="E18" s="23" t="inlineStr">
        <x:is>
          <x:t xml:space="preserve">peta artefak</x:t>
        </x:is>
      </x:c>
    </x:row>
    <x:row r="19" ht="30" customHeight="1">
      <x:c r="A19" s="23" t="inlineStr">
        <x:is>
          <x:t xml:space="preserve">3. Hipotesis kecil</x:t>
        </x:is>
      </x:c>
      <x:c r="B19" s="23" t="inlineStr">
        <x:is>
          <x:t xml:space="preserve">Asumsi server atau program mana yang mungkin salah?</x:t>
        </x:is>
      </x:c>
      <x:c r="C19" s="23" t="inlineStr">
        <x:is>
          <x:t xml:space="preserve">gejala kecil yang konsisten</x:t>
        </x:is>
      </x:c>
      <x:c r="D19" s="23" t="inlineStr">
        <x:is>
          <x:t xml:space="preserve">hipotesis terlalu besar</x:t>
        </x:is>
      </x:c>
      <x:c r="E19" s="23" t="inlineStr">
        <x:is>
          <x:t xml:space="preserve">1 hipotesis yang bisa diuji</x:t>
        </x:is>
      </x:c>
    </x:row>
    <x:row r="20" ht="30" customHeight="1">
      <x:c r="A20" s="23" t="inlineStr">
        <x:is>
          <x:t xml:space="preserve">4. Uji tunggal</x:t>
        </x:is>
      </x:c>
      <x:c r="B20" s="23" t="inlineStr">
        <x:is>
          <x:t xml:space="preserve">Jika saya ubah satu hal, apa dampaknya?</x:t>
        </x:is>
      </x:c>
      <x:c r="C20" s="23" t="inlineStr">
        <x:is>
          <x:t xml:space="preserve">perubahan respons, output, error</x:t>
        </x:is>
      </x:c>
      <x:c r="D20" s="23" t="inlineStr">
        <x:is>
          <x:t xml:space="preserve">mengubah banyak hal sekaligus</x:t>
        </x:is>
      </x:c>
      <x:c r="E20" s="23" t="inlineStr">
        <x:is>
          <x:t xml:space="preserve">hasil uji</x:t>
        </x:is>
      </x:c>
    </x:row>
    <x:row r="21" ht="30" customHeight="1">
      <x:c r="A21" s="23" t="inlineStr">
        <x:is>
          <x:t xml:space="preserve">5. Verifikasi</x:t>
        </x:is>
      </x:c>
      <x:c r="B21" s="23" t="inlineStr">
        <x:is>
          <x:t xml:space="preserve">Apakah hasil benar menjawab objective?</x:t>
        </x:is>
      </x:c>
      <x:c r="C21" s="23" t="inlineStr">
        <x:is>
          <x:t xml:space="preserve">flag, shell, data, bukti logis</x:t>
        </x:is>
      </x:c>
      <x:c r="D21" s="23" t="inlineStr">
        <x:is>
          <x:t xml:space="preserve">menyimpulkan terlalu cepat</x:t>
        </x:is>
      </x:c>
      <x:c r="E21" s="23" t="inlineStr">
        <x:is>
          <x:t xml:space="preserve">verifikasi final</x:t>
        </x:is>
      </x:c>
    </x:row>
  </x:sheetData>
  <x:mergeCells>
    <x:mergeCell ref="A1:I1"/>
    <x:mergeCell ref="A3:I3"/>
    <x:mergeCell ref="A15:I1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20" customWidth="1"/>
    <x:col min="3" max="3" width="22" customWidth="1"/>
    <x:col min="4" max="4" width="26" customWidth="1"/>
    <x:col min="5" max="5" width="22" customWidth="1"/>
    <x:col min="6" max="6" width="22" customWidth="1"/>
    <x:col min="7" max="7" width="18" customWidth="1"/>
    <x:col min="8" max="8" width="18" customWidth="1"/>
    <x:col min="9" max="9" width="24" customWidth="1"/>
  </x:cols>
  <x:sheetData>
    <x:row r="1" ht="26" customHeight="1">
      <x:c r="A1" s="36" t="inlineStr">
        <x:is>
          <x:t xml:space="preserve">Detail Modul C | Jeopardy Blue Team</x:t>
        </x:is>
      </x:c>
      <x:c r="B1" s="33" t="n"/>
      <x:c r="C1" s="33" t="n"/>
      <x:c r="D1" s="33" t="n"/>
      <x:c r="E1" s="33" t="n"/>
      <x:c r="F1" s="33" t="n"/>
      <x:c r="G1" s="33" t="n"/>
      <x:c r="H1" s="33" t="n"/>
      <x:c r="I1" s="33" t="n"/>
    </x:row>
    <x:row r="2" ht="22" customHeight="1"/>
    <x:row r="3" ht="22" customHeight="1">
      <x:c r="A3" s="7" t="inlineStr">
        <x:is>
          <x:t xml:space="preserve">Sesi</x:t>
        </x:is>
      </x:c>
      <x:c r="B3" s="7" t="inlineStr">
        <x:is>
          <x:t xml:space="preserve">Arena</x:t>
        </x:is>
      </x:c>
      <x:c r="C3" s="7" t="inlineStr">
        <x:is>
          <x:t xml:space="preserve">Fokus easy</x:t>
        </x:is>
      </x:c>
      <x:c r="D3" s="7" t="inlineStr">
        <x:is>
          <x:t xml:space="preserve">Fokus medium</x:t>
        </x:is>
      </x:c>
      <x:c r="E3" s="7" t="inlineStr">
        <x:is>
          <x:t xml:space="preserve">Contoh latihan</x:t>
        </x:is>
      </x:c>
      <x:c r="F3" s="7" t="inlineStr">
        <x:is>
          <x:t xml:space="preserve">Pertanyaan pertama</x:t>
        </x:is>
      </x:c>
      <x:c r="G3" s="7" t="inlineStr">
        <x:is>
          <x:t xml:space="preserve">Tool utama</x:t>
        </x:is>
      </x:c>
      <x:c r="H3" s="7" t="inlineStr">
        <x:is>
          <x:t xml:space="preserve">Output siswa</x:t>
        </x:is>
      </x:c>
      <x:c r="I3" s="7" t="inlineStr">
        <x:is>
          <x:t xml:space="preserve">Catatan guru</x:t>
        </x:is>
      </x:c>
    </x:row>
    <x:row r="4" ht="30" customHeight="1">
      <x:c r="A4" s="16" t="inlineStr">
        <x:is>
          <x:t xml:space="preserve">C1</x:t>
        </x:is>
      </x:c>
      <x:c r="B4" s="16" t="inlineStr">
        <x:is>
          <x:t xml:space="preserve">Reverse Engineering</x:t>
        </x:is>
      </x:c>
      <x:c r="C4" s="23" t="inlineStr">
        <x:is>
          <x:t xml:space="preserve">file, strings, entry point</x:t>
        </x:is>
      </x:c>
      <x:c r="D4" s="23" t="inlineStr">
        <x:is>
          <x:t xml:space="preserve">fungsi verifikasi dan struktur program</x:t>
        </x:is>
      </x:c>
      <x:c r="E4" s="23" t="inlineStr">
        <x:is>
          <x:t xml:space="preserve">Strings</x:t>
        </x:is>
      </x:c>
      <x:c r="F4" s="23" t="inlineStr">
        <x:is>
          <x:t xml:space="preserve">Program ini mengecek apa?</x:t>
        </x:is>
      </x:c>
      <x:c r="G4" s="23" t="inlineStr">
        <x:is>
          <x:t xml:space="preserve">file, strings, Ghidra</x:t>
        </x:is>
      </x:c>
      <x:c r="H4" s="23" t="inlineStr">
        <x:is>
          <x:t xml:space="preserve">peta fungsi</x:t>
        </x:is>
      </x:c>
      <x:c r="I4" s="23" t="inlineStr">
        <x:is>
          <x:t xml:space="preserve">Ajarkan urutan triage yang konsisten</x:t>
        </x:is>
      </x:c>
    </x:row>
    <x:row r="5" ht="30" customHeight="1">
      <x:c r="A5" s="16" t="inlineStr">
        <x:is>
          <x:t xml:space="preserve">C2</x:t>
        </x:is>
      </x:c>
      <x:c r="B5" s="16" t="inlineStr">
        <x:is>
          <x:t xml:space="preserve">Reverse Engineering</x:t>
        </x:is>
      </x:c>
      <x:c r="C5" s="23" t="inlineStr">
        <x:is>
          <x:t xml:space="preserve">trace ringan dan breakpoint</x:t>
        </x:is>
      </x:c>
      <x:c r="D5" s="23" t="inlineStr">
        <x:is>
          <x:t xml:space="preserve">obfuscation, patching, anti-debug</x:t>
        </x:is>
      </x:c>
      <x:c r="E5" s="23" t="inlineStr">
        <x:is>
          <x:t xml:space="preserve">Gambit, Strings Revenge</x:t>
        </x:is>
      </x:c>
      <x:c r="F5" s="23" t="inlineStr">
        <x:is>
          <x:t xml:space="preserve">Bagian mana yang paling menentukan jawaban?</x:t>
        </x:is>
      </x:c>
      <x:c r="G5" s="23" t="inlineStr">
        <x:is>
          <x:t xml:space="preserve">Ghidra, GDB</x:t>
        </x:is>
      </x:c>
      <x:c r="H5" s="23" t="inlineStr">
        <x:is>
          <x:t xml:space="preserve">catatan trace</x:t>
        </x:is>
      </x:c>
      <x:c r="I5" s="23" t="inlineStr">
        <x:is>
          <x:t xml:space="preserve">Tekankan alasan tiap breakpoint</x:t>
        </x:is>
      </x:c>
    </x:row>
    <x:row r="6" ht="30" customHeight="1">
      <x:c r="A6" s="16" t="inlineStr">
        <x:is>
          <x:t xml:space="preserve">C3</x:t>
        </x:is>
      </x:c>
      <x:c r="B6" s="16" t="inlineStr">
        <x:is>
          <x:t xml:space="preserve">Digital Forensic</x:t>
        </x:is>
      </x:c>
      <x:c r="C6" s="23" t="inlineStr">
        <x:is>
          <x:t xml:space="preserve">triage file, ZIP, metadata, XML</x:t>
        </x:is>
      </x:c>
      <x:c r="D6" s="23" t="inlineStr">
        <x:is>
          <x:t xml:space="preserve">korelasi artefak dasar</x:t>
        </x:is>
      </x:c>
      <x:c r="E6" s="23" t="inlineStr">
        <x:is>
          <x:t xml:space="preserve">Zenith</x:t>
        </x:is>
      </x:c>
      <x:c r="F6" s="23" t="inlineStr">
        <x:is>
          <x:t xml:space="preserve">Artefak mana paling cepat memberi konteks?</x:t>
        </x:is>
      </x:c>
      <x:c r="G6" s="23" t="inlineStr">
        <x:is>
          <x:t xml:space="preserve">file, exiftool, grep</x:t>
        </x:is>
      </x:c>
      <x:c r="H6" s="23" t="inlineStr">
        <x:is>
          <x:t xml:space="preserve">timeline awal</x:t>
        </x:is>
      </x:c>
      <x:c r="I6" s="23" t="inlineStr">
        <x:is>
          <x:t xml:space="preserve">Siswa belajar memilah noise</x:t>
        </x:is>
      </x:c>
    </x:row>
    <x:row r="7" ht="30" customHeight="1">
      <x:c r="A7" s="16" t="inlineStr">
        <x:is>
          <x:t xml:space="preserve">C4</x:t>
        </x:is>
      </x:c>
      <x:c r="B7" s="16" t="inlineStr">
        <x:is>
          <x:t xml:space="preserve">Digital Forensic</x:t>
        </x:is>
      </x:c>
      <x:c r="C7" s="23" t="inlineStr">
        <x:is>
          <x:t xml:space="preserve">network trace dasar</x:t>
        </x:is>
      </x:c>
      <x:c r="D7" s="23" t="inlineStr">
        <x:is>
          <x:t xml:space="preserve">PCAP, memory, malware artifact</x:t>
        </x:is>
      </x:c>
      <x:c r="E7" s="23" t="inlineStr">
        <x:is>
          <x:t xml:space="preserve">Nightmare, Armageddon</x:t>
        </x:is>
      </x:c>
      <x:c r="F7" s="23" t="inlineStr">
        <x:is>
          <x:t xml:space="preserve">Jejak apa yang menyambungkan artefak?</x:t>
        </x:is>
      </x:c>
      <x:c r="G7" s="23" t="inlineStr">
        <x:is>
          <x:t xml:space="preserve">Wireshark, binwalk, volatility lab</x:t>
        </x:is>
      </x:c>
      <x:c r="H7" s="23" t="inlineStr">
        <x:is>
          <x:t xml:space="preserve">timeline lengkap</x:t>
        </x:is>
      </x:c>
      <x:c r="I7" s="23" t="inlineStr">
        <x:is>
          <x:t xml:space="preserve">Bangun cerita kejadian, bukan daftar file</x:t>
        </x:is>
      </x:c>
    </x:row>
    <x:row r="8" ht="30" customHeight="1">
      <x:c r="A8" s="16" t="inlineStr">
        <x:is>
          <x:t xml:space="preserve">C5</x:t>
        </x:is>
      </x:c>
      <x:c r="B8" s="16" t="inlineStr">
        <x:is>
          <x:t xml:space="preserve">SOC</x:t>
        </x:is>
      </x:c>
      <x:c r="C8" s="23" t="inlineStr">
        <x:is>
          <x:t xml:space="preserve">membaca log dan event penting</x:t>
        </x:is>
      </x:c>
      <x:c r="D8" s="23" t="inlineStr">
        <x:is>
          <x:t xml:space="preserve">SIEM query dasar</x:t>
        </x:is>
      </x:c>
      <x:c r="E8" s="23" t="inlineStr">
        <x:is>
          <x:t xml:space="preserve">log drill kelas</x:t>
        </x:is>
      </x:c>
      <x:c r="F8" s="23" t="inlineStr">
        <x:is>
          <x:t xml:space="preserve">Event apa yang paling aneh?</x:t>
        </x:is>
      </x:c>
      <x:c r="G8" s="23" t="inlineStr">
        <x:is>
          <x:t xml:space="preserve">SIEM lab, grep</x:t>
        </x:is>
      </x:c>
      <x:c r="H8" s="23" t="inlineStr">
        <x:is>
          <x:t xml:space="preserve">alert reasoning</x:t>
        </x:is>
      </x:c>
      <x:c r="I8" s="23" t="inlineStr">
        <x:is>
          <x:t xml:space="preserve">Siswa harus menulis alasan, bukan hanya hasil query</x:t>
        </x:is>
      </x:c>
    </x:row>
    <x:row r="9" ht="30" customHeight="1">
      <x:c r="A9" s="16" t="inlineStr">
        <x:is>
          <x:t xml:space="preserve">C6</x:t>
        </x:is>
      </x:c>
      <x:c r="B9" s="16" t="inlineStr">
        <x:is>
          <x:t xml:space="preserve">SOC</x:t>
        </x:is>
      </x:c>
      <x:c r="C9" s="23" t="inlineStr">
        <x:is>
          <x:t xml:space="preserve">host-user-time correlation</x:t>
        </x:is>
      </x:c>
      <x:c r="D9" s="23" t="inlineStr">
        <x:is>
          <x:t xml:space="preserve">hunting dan prioritisasi finding</x:t>
        </x:is>
      </x:c>
      <x:c r="E9" s="23" t="inlineStr">
        <x:is>
          <x:t xml:space="preserve">paket log kelas</x:t>
        </x:is>
      </x:c>
      <x:c r="F9" s="23" t="inlineStr">
        <x:is>
          <x:t xml:space="preserve">Bagaimana event saling terkait?</x:t>
        </x:is>
      </x:c>
      <x:c r="G9" s="23" t="inlineStr">
        <x:is>
          <x:t xml:space="preserve">SIEM lab, spreadsheet notes</x:t>
        </x:is>
      </x:c>
      <x:c r="H9" s="23" t="inlineStr">
        <x:is>
          <x:t xml:space="preserve">finding note</x:t>
        </x:is>
      </x:c>
      <x:c r="I9" s="23" t="inlineStr">
        <x:is>
          <x:t xml:space="preserve">Gunakan tabel korelasi agar siswa tidak tersesat</x:t>
        </x:is>
      </x:c>
    </x:row>
    <x:row r="10" ht="30" customHeight="1">
      <x:c r="A10" s="16" t="inlineStr">
        <x:is>
          <x:t xml:space="preserve">C7</x:t>
        </x:is>
      </x:c>
      <x:c r="B10" s="16" t="inlineStr">
        <x:is>
          <x:t xml:space="preserve">Blue Mixed</x:t>
        </x:is>
      </x:c>
      <x:c r="C10" s="23" t="inlineStr">
        <x:is>
          <x:t xml:space="preserve">rotasi reverse, forensic, SOC</x:t>
        </x:is>
      </x:c>
      <x:c r="D10" s="23" t="inlineStr">
        <x:is>
          <x:t xml:space="preserve">campuran easy-medium</x:t>
        </x:is>
      </x:c>
      <x:c r="E10" s="23" t="inlineStr">
        <x:is>
          <x:t xml:space="preserve">paket kelas</x:t>
        </x:is>
      </x:c>
      <x:c r="F10" s="23" t="inlineStr">
        <x:is>
          <x:t xml:space="preserve">Kalau buntu, bukti mana yang paling kuat?</x:t>
        </x:is>
      </x:c>
      <x:c r="G10" s="23" t="inlineStr">
        <x:is>
          <x:t xml:space="preserve">tool campuran</x:t>
        </x:is>
      </x:c>
      <x:c r="H10" s="23" t="inlineStr">
        <x:is>
          <x:t xml:space="preserve">catatan bukti lintas kategori</x:t>
        </x:is>
      </x:c>
      <x:c r="I10" s="23" t="inlineStr">
        <x:is>
          <x:t xml:space="preserve">Dorong kerja tim berbasis peran</x:t>
        </x:is>
      </x:c>
    </x:row>
    <x:row r="11" ht="30" customHeight="1">
      <x:c r="A11" s="16" t="inlineStr">
        <x:is>
          <x:t xml:space="preserve">C8</x:t>
        </x:is>
      </x:c>
      <x:c r="B11" s="16" t="inlineStr">
        <x:is>
          <x:t xml:space="preserve">Simulasi dan writeup</x:t>
        </x:is>
      </x:c>
      <x:c r="C11" s="23" t="inlineStr">
        <x:is>
          <x:t xml:space="preserve">penyelesaian 2 sampai 4 artefak</x:t>
        </x:is>
      </x:c>
      <x:c r="D11" s="23" t="inlineStr">
        <x:is>
          <x:t xml:space="preserve">campuran easy-medium</x:t>
        </x:is>
      </x:c>
      <x:c r="E11" s="23" t="inlineStr">
        <x:is>
          <x:t xml:space="preserve">paket kelas</x:t>
        </x:is>
      </x:c>
      <x:c r="F11" s="23" t="inlineStr">
        <x:is>
          <x:t xml:space="preserve">Bisakah solusi diceritakan ulang dengan runtut?</x:t>
        </x:is>
      </x:c>
      <x:c r="G11" s="23" t="inlineStr">
        <x:is>
          <x:t xml:space="preserve">tool campuran</x:t>
        </x:is>
      </x:c>
      <x:c r="H11" s="23" t="inlineStr">
        <x:is>
          <x:t xml:space="preserve">writeup lengkap</x:t>
        </x:is>
      </x:c>
      <x:c r="I11" s="23" t="inlineStr">
        <x:is>
          <x:t xml:space="preserve">Nilai writeup sama pentingnya dengan temuan</x:t>
        </x:is>
      </x:c>
    </x:row>
    <x:row r="12" ht="30" customHeight="1"/>
    <x:row r="13" ht="30" customHeight="1"/>
    <x:row r="14" ht="30" customHeight="1">
      <x:c r="A14" s="36" t="inlineStr">
        <x:is>
          <x:t xml:space="preserve">Kerangka Intuisi Blue Team</x:t>
        </x:is>
      </x:c>
      <x:c r="B14" s="33" t="n"/>
      <x:c r="C14" s="33" t="n"/>
      <x:c r="D14" s="33" t="n"/>
      <x:c r="E14" s="33" t="n"/>
      <x:c r="F14" s="33" t="n"/>
      <x:c r="G14" s="33" t="n"/>
      <x:c r="H14" s="33" t="n"/>
      <x:c r="I14" s="33" t="n"/>
    </x:row>
    <x:row r="15" ht="30" customHeight="1">
      <x:c r="A15" s="7" t="inlineStr">
        <x:is>
          <x:t xml:space="preserve">Langkah pikir</x:t>
        </x:is>
      </x:c>
      <x:c r="B15" s="7" t="inlineStr">
        <x:is>
          <x:t xml:space="preserve">Pertanyaan pemandu</x:t>
        </x:is>
      </x:c>
      <x:c r="C15" s="7" t="inlineStr">
        <x:is>
          <x:t xml:space="preserve">Artefak prioritas</x:t>
        </x:is>
      </x:c>
      <x:c r="D15" s="7" t="inlineStr">
        <x:is>
          <x:t xml:space="preserve">Kesalahan umum</x:t>
        </x:is>
      </x:c>
      <x:c r="E15" s="7" t="inlineStr">
        <x:is>
          <x:t xml:space="preserve">Output singkat</x:t>
        </x:is>
      </x:c>
      <x:c r="F15" s="7" t="inlineStr">
        <x:is>
          <x:t xml:space="preserve">Catatan</x:t>
        </x:is>
      </x:c>
    </x:row>
    <x:row r="16" ht="30" customHeight="1">
      <x:c r="A16" s="23" t="inlineStr">
        <x:is>
          <x:t xml:space="preserve">1. Triage</x:t>
        </x:is>
      </x:c>
      <x:c r="B16" s="23" t="inlineStr">
        <x:is>
          <x:t xml:space="preserve">File atau log mana paling cepat dibuka?</x:t>
        </x:is>
      </x:c>
      <x:c r="C16" s="23" t="inlineStr">
        <x:is>
          <x:t xml:space="preserve">file type, strings, metadata, event awal</x:t>
        </x:is>
      </x:c>
      <x:c r="D16" s="23" t="inlineStr">
        <x:is>
          <x:t xml:space="preserve">buka semua file sekaligus</x:t>
        </x:is>
      </x:c>
      <x:c r="E16" s="23" t="inlineStr">
        <x:is>
          <x:t xml:space="preserve">daftar prioritas</x:t>
        </x:is>
      </x:c>
      <x:c r="F16" s="23" t="inlineStr">
        <x:is>
          <x:t xml:space="preserve">murah dulu, dalam kemudian</x:t>
        </x:is>
      </x:c>
    </x:row>
    <x:row r="17" ht="30" customHeight="1">
      <x:c r="A17" s="23" t="inlineStr">
        <x:is>
          <x:t xml:space="preserve">2. Konteks</x:t>
        </x:is>
      </x:c>
      <x:c r="B17" s="23" t="inlineStr">
        <x:is>
          <x:t xml:space="preserve">Objective soal sebenarnya apa?</x:t>
        </x:is>
      </x:c>
      <x:c r="C17" s="23" t="inlineStr">
        <x:is>
          <x:t xml:space="preserve">kata kunci soal, nama artefak, waktu, host</x:t>
        </x:is>
      </x:c>
      <x:c r="D17" s="23" t="inlineStr">
        <x:is>
          <x:t xml:space="preserve">terlalu lama pada detail yang tidak menjawab objective</x:t>
        </x:is>
      </x:c>
      <x:c r="E17" s="23" t="inlineStr">
        <x:is>
          <x:t xml:space="preserve">arah analisis</x:t>
        </x:is>
      </x:c>
      <x:c r="F17" s="23" t="inlineStr">
        <x:is>
          <x:t xml:space="preserve">objective jadi filter utama</x:t>
        </x:is>
      </x:c>
    </x:row>
    <x:row r="18" ht="30" customHeight="1">
      <x:c r="A18" s="23" t="inlineStr">
        <x:is>
          <x:t xml:space="preserve">3. Korelasi</x:t>
        </x:is>
      </x:c>
      <x:c r="B18" s="23" t="inlineStr">
        <x:is>
          <x:t xml:space="preserve">Apa hubungan antar artefak?</x:t>
        </x:is>
      </x:c>
      <x:c r="C18" s="23" t="inlineStr">
        <x:is>
          <x:t xml:space="preserve">timestamp, user, process, IP, path</x:t>
        </x:is>
      </x:c>
      <x:c r="D18" s="23" t="inlineStr">
        <x:is>
          <x:t xml:space="preserve">menganalisis artefak secara terpisah</x:t>
        </x:is>
      </x:c>
      <x:c r="E18" s="23" t="inlineStr">
        <x:is>
          <x:t xml:space="preserve">timeline</x:t>
        </x:is>
      </x:c>
      <x:c r="F18" s="23" t="inlineStr">
        <x:is>
          <x:t xml:space="preserve">buat satu cerita kejadian</x:t>
        </x:is>
      </x:c>
    </x:row>
    <x:row r="19" ht="30" customHeight="1">
      <x:c r="A19" s="23" t="inlineStr">
        <x:is>
          <x:t xml:space="preserve">4. Validasi</x:t>
        </x:is>
      </x:c>
      <x:c r="B19" s="23" t="inlineStr">
        <x:is>
          <x:t xml:space="preserve">Temuan ini cukup kuat atau masih asumsi?</x:t>
        </x:is>
      </x:c>
      <x:c r="C19" s="23" t="inlineStr">
        <x:is>
          <x:t xml:space="preserve">bukti kedua yang menguatkan</x:t>
        </x:is>
      </x:c>
      <x:c r="D19" s="23" t="inlineStr">
        <x:is>
          <x:t xml:space="preserve">kesimpulan dari satu indikasi lemah</x:t>
        </x:is>
      </x:c>
      <x:c r="E19" s="23" t="inlineStr">
        <x:is>
          <x:t xml:space="preserve">temuan tervalidasi</x:t>
        </x:is>
      </x:c>
      <x:c r="F19" s="23" t="inlineStr">
        <x:is>
          <x:t xml:space="preserve">butuh dua bukti jika bisa</x:t>
        </x:is>
      </x:c>
    </x:row>
    <x:row r="20" ht="30" customHeight="1">
      <x:c r="A20" s="23" t="inlineStr">
        <x:is>
          <x:t xml:space="preserve">5. Narasi</x:t>
        </x:is>
      </x:c>
      <x:c r="B20" s="23" t="inlineStr">
        <x:is>
          <x:t xml:space="preserve">Bagaimana menjelaskannya singkat dan jelas?</x:t>
        </x:is>
      </x:c>
      <x:c r="C20" s="23" t="inlineStr">
        <x:is>
          <x:t xml:space="preserve">urutan waktu dan alasan</x:t>
        </x:is>
      </x:c>
      <x:c r="D20" s="23" t="inlineStr">
        <x:is>
          <x:t xml:space="preserve">writeup terlalu teknis tanpa konteks</x:t>
        </x:is>
      </x:c>
      <x:c r="E20" s="23" t="inlineStr">
        <x:is>
          <x:t xml:space="preserve">ringkasan temuan</x:t>
        </x:is>
      </x:c>
      <x:c r="F20" s="23" t="inlineStr">
        <x:is>
          <x:t xml:space="preserve">jelas, padat, berbukti</x:t>
        </x:is>
      </x:c>
    </x:row>
  </x:sheetData>
  <x:mergeCells>
    <x:mergeCell ref="A1:I1"/>
    <x:mergeCell ref="A14:I1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6" customWidth="1"/>
    <x:col min="4" max="4" width="22" customWidth="1"/>
    <x:col min="5" max="5" width="14" customWidth="1"/>
    <x:col min="6" max="6" width="12" customWidth="1"/>
    <x:col min="7" max="7" width="12" customWidth="1"/>
    <x:col min="8" max="8" width="12" customWidth="1"/>
  </x:cols>
  <x:sheetData>
    <x:row r="1" ht="26" customHeight="1">
      <x:c r="A1" s="36" t="inlineStr">
        <x:is>
          <x:t xml:space="preserve">Template Intuisi, Narasi, dan Writeup</x:t>
        </x:is>
      </x:c>
      <x:c r="B1" s="33" t="n"/>
      <x:c r="C1" s="33" t="n"/>
      <x:c r="D1" s="33" t="n"/>
      <x:c r="E1" s="33" t="n"/>
      <x:c r="F1" s="33" t="n"/>
      <x:c r="G1" s="33" t="n"/>
      <x:c r="H1" s="33" t="n"/>
    </x:row>
    <x:row r="2" ht="22" customHeight="1"/>
    <x:row r="3" ht="22" customHeight="1">
      <x:c r="A3" s="36" t="inlineStr">
        <x:is>
          <x:t xml:space="preserve">Alur Berpikir Siswa</x:t>
        </x:is>
      </x:c>
      <x:c r="B3" s="33" t="n"/>
      <x:c r="C3" s="33" t="n"/>
      <x:c r="D3" s="33" t="n"/>
      <x:c r="E3" s="33" t="n"/>
      <x:c r="F3" s="33" t="n"/>
      <x:c r="G3" s="33" t="n"/>
      <x:c r="H3" s="33" t="n"/>
    </x:row>
    <x:row r="4" ht="30" customHeight="1">
      <x:c r="A4" s="7" t="inlineStr">
        <x:is>
          <x:t xml:space="preserve">Urutan</x:t>
        </x:is>
      </x:c>
      <x:c r="B4" s="7" t="inlineStr">
        <x:is>
          <x:t xml:space="preserve">Pertanyaan kunci</x:t>
        </x:is>
      </x:c>
      <x:c r="C4" s="7" t="inlineStr">
        <x:is>
          <x:t xml:space="preserve">Yang harus dicatat</x:t>
        </x:is>
      </x:c>
      <x:c r="D4" s="7" t="inlineStr">
        <x:is>
          <x:t xml:space="preserve">Contoh isian siswa</x:t>
        </x:is>
      </x:c>
      <x:c r="E4" s="7" t="inlineStr">
        <x:is>
          <x:t xml:space="preserve">Bukti minimal</x:t>
        </x:is>
      </x:c>
      <x:c r="F4" s="7" t="inlineStr">
        <x:is>
          <x:t xml:space="preserve">Status</x:t>
        </x:is>
      </x:c>
    </x:row>
    <x:row r="5" ht="30" customHeight="1">
      <x:c r="A5" s="12" t="n">
        <x:v>1</x:v>
      </x:c>
      <x:c r="B5" s="23" t="inlineStr">
        <x:is>
          <x:t xml:space="preserve">Ini soal tipe apa?</x:t>
        </x:is>
      </x:c>
      <x:c r="C5" s="23" t="inlineStr">
        <x:is>
          <x:t xml:space="preserve">kategori dan alasan</x:t>
        </x:is>
      </x:c>
      <x:c r="D5" s="23" t="inlineStr">
        <x:is>
          <x:t xml:space="preserve">Web karena ada route dan form login</x:t>
        </x:is>
      </x:c>
      <x:c r="E5" s="23" t="inlineStr">
        <x:is>
          <x:t xml:space="preserve">1 alasan teknis</x:t>
        </x:is>
      </x:c>
      <x:c r="F5" s="30" t="inlineStr">
        <x:is>
          <x:t xml:space="preserve"/>
        </x:is>
      </x:c>
    </x:row>
    <x:row r="6" ht="30" customHeight="1">
      <x:c r="A6" s="12" t="n">
        <x:v>2</x:v>
      </x:c>
      <x:c r="B6" s="23" t="inlineStr">
        <x:is>
          <x:t xml:space="preserve">Saya harus mulai dari mana?</x:t>
        </x:is>
      </x:c>
      <x:c r="C6" s="23" t="inlineStr">
        <x:is>
          <x:t xml:space="preserve">langkah awal termurah</x:t>
        </x:is>
      </x:c>
      <x:c r="D6" s="23" t="inlineStr">
        <x:is>
          <x:t xml:space="preserve">cek source dan request dulu</x:t>
        </x:is>
      </x:c>
      <x:c r="E6" s="23" t="inlineStr">
        <x:is>
          <x:t xml:space="preserve">1 langkah awal</x:t>
        </x:is>
      </x:c>
      <x:c r="F6" s="30" t="inlineStr">
        <x:is>
          <x:t xml:space="preserve"/>
        </x:is>
      </x:c>
    </x:row>
    <x:row r="7" ht="30" customHeight="1">
      <x:c r="A7" s="12" t="n">
        <x:v>3</x:v>
      </x:c>
      <x:c r="B7" s="23" t="inlineStr">
        <x:is>
          <x:t xml:space="preserve">Saya sedang mencari apa?</x:t>
        </x:is>
      </x:c>
      <x:c r="C7" s="23" t="inlineStr">
        <x:is>
          <x:t xml:space="preserve">target bukti</x:t>
        </x:is>
      </x:c>
      <x:c r="D7" s="23" t="inlineStr">
        <x:is>
          <x:t xml:space="preserve">parameter trust, fungsi verifikasi, event aneh</x:t>
        </x:is>
      </x:c>
      <x:c r="E7" s="23" t="inlineStr">
        <x:is>
          <x:t xml:space="preserve">1 target bukti</x:t>
        </x:is>
      </x:c>
      <x:c r="F7" s="30" t="inlineStr">
        <x:is>
          <x:t xml:space="preserve"/>
        </x:is>
      </x:c>
    </x:row>
    <x:row r="8" ht="30" customHeight="1">
      <x:c r="A8" s="12" t="n">
        <x:v>4</x:v>
      </x:c>
      <x:c r="B8" s="23" t="inlineStr">
        <x:is>
          <x:t xml:space="preserve">Hipotesis kecil saya apa?</x:t>
        </x:is>
      </x:c>
      <x:c r="C8" s="23" t="inlineStr">
        <x:is>
          <x:t xml:space="preserve">dugaan yang bisa diuji</x:t>
        </x:is>
      </x:c>
      <x:c r="D8" s="23" t="inlineStr">
        <x:is>
          <x:t xml:space="preserve">mungkin backend menerima field lebih banyak</x:t>
        </x:is>
      </x:c>
      <x:c r="E8" s="23" t="inlineStr">
        <x:is>
          <x:t xml:space="preserve">1 hipotesis</x:t>
        </x:is>
      </x:c>
      <x:c r="F8" s="30" t="inlineStr">
        <x:is>
          <x:t xml:space="preserve"/>
        </x:is>
      </x:c>
    </x:row>
    <x:row r="9" ht="30" customHeight="1">
      <x:c r="A9" s="12" t="n">
        <x:v>5</x:v>
      </x:c>
      <x:c r="B9" s="23" t="inlineStr">
        <x:is>
          <x:t xml:space="preserve">Uji pertama saya apa?</x:t>
        </x:is>
      </x:c>
      <x:c r="C9" s="23" t="inlineStr">
        <x:is>
          <x:t xml:space="preserve">satu perubahan tunggal</x:t>
        </x:is>
      </x:c>
      <x:c r="D9" s="23" t="inlineStr">
        <x:is>
          <x:t xml:space="preserve">ubah satu parameter dan lihat respons</x:t>
        </x:is>
      </x:c>
      <x:c r="E9" s="23" t="inlineStr">
        <x:is>
          <x:t xml:space="preserve">hasil uji</x:t>
        </x:is>
      </x:c>
      <x:c r="F9" s="30" t="inlineStr">
        <x:is>
          <x:t xml:space="preserve"/>
        </x:is>
      </x:c>
    </x:row>
    <x:row r="10" ht="30" customHeight="1">
      <x:c r="A10" s="12" t="n">
        <x:v>6</x:v>
      </x:c>
      <x:c r="B10" s="23" t="inlineStr">
        <x:is>
          <x:t xml:space="preserve">Apa hasilnya?</x:t>
        </x:is>
      </x:c>
      <x:c r="C10" s="23" t="inlineStr">
        <x:is>
          <x:t xml:space="preserve">respon, log, output, error</x:t>
        </x:is>
      </x:c>
      <x:c r="D10" s="23" t="inlineStr">
        <x:is>
          <x:t xml:space="preserve">status 500 saat payload tertentu</x:t>
        </x:is>
      </x:c>
      <x:c r="E10" s="23" t="inlineStr">
        <x:is>
          <x:t xml:space="preserve">screenshot / log</x:t>
        </x:is>
      </x:c>
      <x:c r="F10" s="30" t="inlineStr">
        <x:is>
          <x:t xml:space="preserve"/>
        </x:is>
      </x:c>
    </x:row>
    <x:row r="11" ht="30" customHeight="1">
      <x:c r="A11" s="12" t="n">
        <x:v>7</x:v>
      </x:c>
      <x:c r="B11" s="23" t="inlineStr">
        <x:is>
          <x:t xml:space="preserve">Apa langkah berikutnya?</x:t>
        </x:is>
      </x:c>
      <x:c r="C11" s="23" t="inlineStr">
        <x:is>
          <x:t xml:space="preserve">keputusan lanjut / ubah jalur</x:t>
        </x:is>
      </x:c>
      <x:c r="D11" s="23" t="inlineStr">
        <x:is>
          <x:t xml:space="preserve">persempit ke SSTI karena pola error</x:t>
        </x:is>
      </x:c>
      <x:c r="E11" s="23" t="inlineStr">
        <x:is>
          <x:t xml:space="preserve">alasan lanjut</x:t>
        </x:is>
      </x:c>
      <x:c r="F11" s="30" t="inlineStr">
        <x:is>
          <x:t xml:space="preserve"/>
        </x:is>
      </x:c>
    </x:row>
    <x:row r="12" ht="30" customHeight="1">
      <x:c r="A12" s="12" t="n">
        <x:v>8</x:v>
      </x:c>
      <x:c r="B12" s="23" t="inlineStr">
        <x:is>
          <x:t xml:space="preserve">Bagaimana verifikasi akhir?</x:t>
        </x:is>
      </x:c>
      <x:c r="C12" s="23" t="inlineStr">
        <x:is>
          <x:t xml:space="preserve">cara memastikan jawaban benar</x:t>
        </x:is>
      </x:c>
      <x:c r="D12" s="23" t="inlineStr">
        <x:is>
          <x:t xml:space="preserve">flag valid dan bisa dijelaskan ulang</x:t>
        </x:is>
      </x:c>
      <x:c r="E12" s="23" t="inlineStr">
        <x:is>
          <x:t xml:space="preserve">verifikasi final</x:t>
        </x:is>
      </x:c>
      <x:c r="F12" s="30" t="inlineStr">
        <x:is>
          <x:t xml:space="preserve"/>
        </x:is>
      </x:c>
    </x:row>
    <x:row r="13" ht="30" customHeight="1"/>
    <x:row r="14" ht="30" customHeight="1"/>
    <x:row r="15" ht="30" customHeight="1">
      <x:c r="A15" s="36" t="inlineStr">
        <x:is>
          <x:t xml:space="preserve">Template Writeup Kompetisi</x:t>
        </x:is>
      </x:c>
      <x:c r="B15" s="33" t="n"/>
      <x:c r="C15" s="33" t="n"/>
      <x:c r="D15" s="33" t="n"/>
      <x:c r="E15" s="33" t="n"/>
      <x:c r="F15" s="33" t="n"/>
      <x:c r="G15" s="33" t="n"/>
      <x:c r="H15" s="33" t="n"/>
    </x:row>
    <x:row r="16" ht="30" customHeight="1">
      <x:c r="A16" s="7" t="inlineStr">
        <x:is>
          <x:t xml:space="preserve">Bagian</x:t>
        </x:is>
      </x:c>
      <x:c r="B16" s="7" t="inlineStr">
        <x:is>
          <x:t xml:space="preserve">Isi minimum</x:t>
        </x:is>
      </x:c>
      <x:c r="C16" s="7" t="inlineStr">
        <x:is>
          <x:t xml:space="preserve">Pertanyaan penulis</x:t>
        </x:is>
      </x:c>
      <x:c r="D16" s="7" t="inlineStr">
        <x:is>
          <x:t xml:space="preserve">Bukti</x:t>
        </x:is>
      </x:c>
      <x:c r="E16" s="7" t="inlineStr">
        <x:is>
          <x:t xml:space="preserve">Checklist</x:t>
        </x:is>
      </x:c>
    </x:row>
    <x:row r="17" ht="30" customHeight="1">
      <x:c r="A17" s="23" t="inlineStr">
        <x:is>
          <x:t xml:space="preserve">Identitas challenge</x:t>
        </x:is>
      </x:c>
      <x:c r="B17" s="23" t="inlineStr">
        <x:is>
          <x:t xml:space="preserve">nama, kategori, level</x:t>
        </x:is>
      </x:c>
      <x:c r="C17" s="23" t="inlineStr">
        <x:is>
          <x:t xml:space="preserve">Saya sedang memecahkan apa?</x:t>
        </x:is>
      </x:c>
      <x:c r="D17" s="23" t="inlineStr">
        <x:is>
          <x:t xml:space="preserve">judul challenge</x:t>
        </x:is>
      </x:c>
      <x:c r="E17" s="31" t="inlineStr">
        <x:is>
          <x:t xml:space="preserve"/>
        </x:is>
      </x:c>
    </x:row>
    <x:row r="18" ht="30" customHeight="1">
      <x:c r="A18" s="23" t="inlineStr">
        <x:is>
          <x:t xml:space="preserve">Recon / triage</x:t>
        </x:is>
      </x:c>
      <x:c r="B18" s="23" t="inlineStr">
        <x:is>
          <x:t xml:space="preserve">artefak awal dan observasi</x:t>
        </x:is>
      </x:c>
      <x:c r="C18" s="23" t="inlineStr">
        <x:is>
          <x:t xml:space="preserve">Apa yang saya lihat pertama?</x:t>
        </x:is>
      </x:c>
      <x:c r="D18" s="23" t="inlineStr">
        <x:is>
          <x:t xml:space="preserve">strings, route map, metadata</x:t>
        </x:is>
      </x:c>
      <x:c r="E18" s="31" t="inlineStr">
        <x:is>
          <x:t xml:space="preserve"/>
        </x:is>
      </x:c>
    </x:row>
    <x:row r="19" ht="30" customHeight="1">
      <x:c r="A19" s="23" t="inlineStr">
        <x:is>
          <x:t xml:space="preserve">Hipotesis</x:t>
        </x:is>
      </x:c>
      <x:c r="B19" s="23" t="inlineStr">
        <x:is>
          <x:t xml:space="preserve">dugaan awal yang spesifik</x:t>
        </x:is>
      </x:c>
      <x:c r="C19" s="23" t="inlineStr">
        <x:is>
          <x:t xml:space="preserve">Kenapa saya curiga ke jalur ini?</x:t>
        </x:is>
      </x:c>
      <x:c r="D19" s="23" t="inlineStr">
        <x:is>
          <x:t xml:space="preserve">catatan alasan</x:t>
        </x:is>
      </x:c>
      <x:c r="E19" s="31" t="inlineStr">
        <x:is>
          <x:t xml:space="preserve"/>
        </x:is>
      </x:c>
    </x:row>
    <x:row r="20" ht="30" customHeight="1">
      <x:c r="A20" s="23" t="inlineStr">
        <x:is>
          <x:t xml:space="preserve">Eksperimen</x:t>
        </x:is>
      </x:c>
      <x:c r="B20" s="23" t="inlineStr">
        <x:is>
          <x:t xml:space="preserve">langkah uji satu per satu</x:t>
        </x:is>
      </x:c>
      <x:c r="C20" s="23" t="inlineStr">
        <x:is>
          <x:t xml:space="preserve">Apa yang saya ubah dan apa hasilnya?</x:t>
        </x:is>
      </x:c>
      <x:c r="D20" s="23" t="inlineStr">
        <x:is>
          <x:t xml:space="preserve">request, command, output</x:t>
        </x:is>
      </x:c>
      <x:c r="E20" s="31" t="inlineStr">
        <x:is>
          <x:t xml:space="preserve"/>
        </x:is>
      </x:c>
    </x:row>
    <x:row r="21" ht="30" customHeight="1">
      <x:c r="A21" s="23" t="inlineStr">
        <x:is>
          <x:t xml:space="preserve">Temuan inti</x:t>
        </x:is>
      </x:c>
      <x:c r="B21" s="23" t="inlineStr">
        <x:is>
          <x:t xml:space="preserve">akar masalah atau teknik</x:t>
        </x:is>
      </x:c>
      <x:c r="C21" s="23" t="inlineStr">
        <x:is>
          <x:t xml:space="preserve">Apa inti penyelesaiannya?</x:t>
        </x:is>
      </x:c>
      <x:c r="D21" s="23" t="inlineStr">
        <x:is>
          <x:t xml:space="preserve">ringkasan teknis</x:t>
        </x:is>
      </x:c>
      <x:c r="E21" s="31" t="inlineStr">
        <x:is>
          <x:t xml:space="preserve"/>
        </x:is>
      </x:c>
    </x:row>
    <x:row r="22" ht="30" customHeight="1">
      <x:c r="A22" s="23" t="inlineStr">
        <x:is>
          <x:t xml:space="preserve">Verifikasi</x:t>
        </x:is>
      </x:c>
      <x:c r="B22" s="23" t="inlineStr">
        <x:is>
          <x:t xml:space="preserve">cara memastikan hasil</x:t>
        </x:is>
      </x:c>
      <x:c r="C22" s="23" t="inlineStr">
        <x:is>
          <x:t xml:space="preserve">Bagaimana saya tahu ini benar?</x:t>
        </x:is>
      </x:c>
      <x:c r="D22" s="23" t="inlineStr">
        <x:is>
          <x:t xml:space="preserve">flag / bukti final</x:t>
        </x:is>
      </x:c>
      <x:c r="E22" s="31" t="inlineStr">
        <x:is>
          <x:t xml:space="preserve"/>
        </x:is>
      </x:c>
    </x:row>
    <x:row r="23" ht="30" customHeight="1">
      <x:c r="A23" s="23" t="inlineStr">
        <x:is>
          <x:t xml:space="preserve">Penutup</x:t>
        </x:is>
      </x:c>
      <x:c r="B23" s="23" t="inlineStr">
        <x:is>
          <x:t xml:space="preserve">pelajaran dari challenge</x:t>
        </x:is>
      </x:c>
      <x:c r="C23" s="23" t="inlineStr">
        <x:is>
          <x:t xml:space="preserve">Kalau diulang, apa yang saya lakukan lebih cepat?</x:t>
        </x:is>
      </x:c>
      <x:c r="D23" s="23" t="inlineStr">
        <x:is>
          <x:t xml:space="preserve">refleksi singkat</x:t>
        </x:is>
      </x:c>
      <x:c r="E23" s="31" t="inlineStr">
        <x:is>
          <x:t xml:space="preserve"/>
        </x:is>
      </x:c>
    </x:row>
  </x:sheetData>
  <x:mergeCells>
    <x:mergeCell ref="A15:H15"/>
    <x:mergeCell ref="A3:H3"/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10" customWidth="1"/>
    <x:col min="3" max="3" width="10" customWidth="1"/>
    <x:col min="4" max="4" width="12" customWidth="1"/>
    <x:col min="5" max="5" width="22" customWidth="1"/>
    <x:col min="6" max="6" width="18" customWidth="1"/>
    <x:col min="7" max="7" width="28" customWidth="1"/>
    <x:col min="8" max="8" width="14" customWidth="1"/>
  </x:cols>
  <x:sheetData>
    <x:row r="1" ht="26" customHeight="1">
      <x:c r="A1" s="36" t="inlineStr">
        <x:is>
          <x:t xml:space="preserve">Rubrik Asesmen Pembelajaran dan Simulasi</x:t>
        </x:is>
      </x:c>
      <x:c r="B1" s="33" t="n"/>
      <x:c r="C1" s="33" t="n"/>
      <x:c r="D1" s="33" t="n"/>
      <x:c r="E1" s="33" t="n"/>
      <x:c r="F1" s="33" t="n"/>
      <x:c r="G1" s="33" t="n"/>
      <x:c r="H1" s="33" t="n"/>
    </x:row>
    <x:row r="2" ht="22" customHeight="1"/>
    <x:row r="3" ht="22" customHeight="1">
      <x:c r="A3" s="36" t="inlineStr">
        <x:is>
          <x:t xml:space="preserve">Rubrik Module A | Hardening</x:t>
        </x:is>
      </x:c>
      <x:c r="B3" s="33" t="n"/>
      <x:c r="C3" s="33" t="n"/>
      <x:c r="D3" s="33" t="n"/>
      <x:c r="E3" s="33" t="n"/>
      <x:c r="F3" s="33" t="n"/>
      <x:c r="G3" s="33" t="n"/>
      <x:c r="H3" s="33" t="n"/>
    </x:row>
    <x:row r="4" ht="22" customHeight="1">
      <x:c r="A4" s="7" t="inlineStr">
        <x:is>
          <x:t xml:space="preserve">Aspek</x:t>
        </x:is>
      </x:c>
      <x:c r="B4" s="7" t="inlineStr">
        <x:is>
          <x:t xml:space="preserve">Bobot</x:t>
        </x:is>
      </x:c>
      <x:c r="C4" s="7" t="inlineStr">
        <x:is>
          <x:t xml:space="preserve">Skor 1-4</x:t>
        </x:is>
      </x:c>
      <x:c r="D4" s="7" t="inlineStr">
        <x:is>
          <x:t xml:space="preserve">Nilai bobot</x:t>
        </x:is>
      </x:c>
      <x:c r="E4" s="7" t="inlineStr">
        <x:is>
          <x:t xml:space="preserve">Indikator ringkas</x:t>
        </x:is>
      </x:c>
      <x:c r="F4" s="7" t="inlineStr">
        <x:is>
          <x:t xml:space="preserve">Keterangan</x:t>
        </x:is>
      </x:c>
      <x:c r="G4" s="3" t="inlineStr">
        <x:is>
          <x:t xml:space="preserve">Catatan</x:t>
        </x:is>
      </x:c>
    </x:row>
    <x:row r="5" ht="22" customHeight="1">
      <x:c r="A5" s="29" t="inlineStr">
        <x:is>
          <x:t xml:space="preserve">Audit awal dan backup</x:t>
        </x:is>
      </x:c>
      <x:c r="B5" s="12" t="n">
        <x:v>15</x:v>
      </x:c>
      <x:c r="C5" s="30" t="inlineStr">
        <x:is>
          <x:t xml:space="preserve"/>
        </x:is>
      </x:c>
      <x:c r="D5" s="12">
        <x:f>B5*C5/4</x:f>
        <x:v>0</x:v>
      </x:c>
      <x:c r="E5" s="23" t="inlineStr">
        <x:is>
          <x:t xml:space="preserve">memetakan user, service, port, backup</x:t>
        </x:is>
      </x:c>
      <x:c r="F5" s="23" t="inlineStr">
        <x:is>
          <x:t xml:space="preserve"/>
        </x:is>
      </x:c>
      <x:c r="G5" s="23" t="inlineStr">
        <x:is>
          <x:t xml:space="preserve">Isi skor 1 sampai 4 pada kolom C.</x:t>
        </x:is>
      </x:c>
    </x:row>
    <x:row r="6" ht="22" customHeight="1">
      <x:c r="A6" s="29" t="inlineStr">
        <x:is>
          <x:t xml:space="preserve">Ketepatan konfigurasi</x:t>
        </x:is>
      </x:c>
      <x:c r="B6" s="12" t="n">
        <x:v>30</x:v>
      </x:c>
      <x:c r="C6" s="30" t="inlineStr">
        <x:is>
          <x:t xml:space="preserve"/>
        </x:is>
      </x:c>
      <x:c r="D6" s="12">
        <x:f>B6*C6/4</x:f>
        <x:v>0</x:v>
      </x:c>
      <x:c r="E6" s="23" t="inlineStr">
        <x:is>
          <x:t xml:space="preserve">SSH, password policy, Samba, NGINX, firewall tepat</x:t>
        </x:is>
      </x:c>
      <x:c r="F6" s="23" t="inlineStr">
        <x:is>
          <x:t xml:space="preserve"/>
        </x:is>
      </x:c>
      <x:c r="G6" s="23" t="inlineStr">
        <x:is>
          <x:t xml:space="preserve">1 = sangat perlu bimbingan</x:t>
        </x:is>
      </x:c>
    </x:row>
    <x:row r="7" ht="22" customHeight="1">
      <x:c r="A7" s="29" t="inlineStr">
        <x:is>
          <x:t xml:space="preserve">Verifikasi layanan</x:t>
        </x:is>
      </x:c>
      <x:c r="B7" s="12" t="n">
        <x:v>20</x:v>
      </x:c>
      <x:c r="C7" s="30" t="inlineStr">
        <x:is>
          <x:t xml:space="preserve"/>
        </x:is>
      </x:c>
      <x:c r="D7" s="12">
        <x:f>B7*C7/4</x:f>
        <x:v>0</x:v>
      </x:c>
      <x:c r="E7" s="23" t="inlineStr">
        <x:is>
          <x:t xml:space="preserve">cek config, status service, akses aman</x:t>
        </x:is>
      </x:c>
      <x:c r="F7" s="23" t="inlineStr">
        <x:is>
          <x:t xml:space="preserve"/>
        </x:is>
      </x:c>
      <x:c r="G7" s="23" t="inlineStr">
        <x:is>
          <x:t xml:space="preserve">2 = mulai paham tetapi belum stabil</x:t>
        </x:is>
      </x:c>
    </x:row>
    <x:row r="8" ht="22" customHeight="1">
      <x:c r="A8" s="29" t="inlineStr">
        <x:is>
          <x:t xml:space="preserve">Kepatuhan constraint</x:t>
        </x:is>
      </x:c>
      <x:c r="B8" s="12" t="n">
        <x:v>15</x:v>
      </x:c>
      <x:c r="C8" s="30" t="inlineStr">
        <x:is>
          <x:t xml:space="preserve"/>
        </x:is>
      </x:c>
      <x:c r="D8" s="12">
        <x:f>B8*C8/4</x:f>
        <x:v>0</x:v>
      </x:c>
      <x:c r="E8" s="23" t="inlineStr">
        <x:is>
          <x:t xml:space="preserve">tanpa internet, tanpa script, SSH tetap hidup, tanpa reboot</x:t>
        </x:is>
      </x:c>
      <x:c r="F8" s="23" t="inlineStr">
        <x:is>
          <x:t xml:space="preserve"/>
        </x:is>
      </x:c>
      <x:c r="G8" s="23" t="inlineStr">
        <x:is>
          <x:t xml:space="preserve">3 = cukup siap</x:t>
        </x:is>
      </x:c>
    </x:row>
    <x:row r="9" ht="22" customHeight="1">
      <x:c r="A9" s="29" t="inlineStr">
        <x:is>
          <x:t xml:space="preserve">Dokumentasi dan checklist</x:t>
        </x:is>
      </x:c>
      <x:c r="B9" s="12" t="n">
        <x:v>10</x:v>
      </x:c>
      <x:c r="C9" s="30" t="inlineStr">
        <x:is>
          <x:t xml:space="preserve"/>
        </x:is>
      </x:c>
      <x:c r="D9" s="12">
        <x:f>B9*C9/4</x:f>
        <x:v>0</x:v>
      </x:c>
      <x:c r="E9" s="23" t="inlineStr">
        <x:is>
          <x:t xml:space="preserve">catatan rapi dan runtut</x:t>
        </x:is>
      </x:c>
      <x:c r="F9" s="23" t="inlineStr">
        <x:is>
          <x:t xml:space="preserve"/>
        </x:is>
      </x:c>
      <x:c r="G9" s="23" t="inlineStr">
        <x:is>
          <x:t xml:space="preserve">4 = siap kompetisi</x:t>
        </x:is>
      </x:c>
    </x:row>
    <x:row r="10" ht="22" customHeight="1">
      <x:c r="A10" s="29" t="inlineStr">
        <x:is>
          <x:t xml:space="preserve">Manajemen waktu</x:t>
        </x:is>
      </x:c>
      <x:c r="B10" s="12" t="n">
        <x:v>10</x:v>
      </x:c>
      <x:c r="C10" s="30" t="inlineStr">
        <x:is>
          <x:t xml:space="preserve"/>
        </x:is>
      </x:c>
      <x:c r="D10" s="12">
        <x:f>B10*C10/4</x:f>
        <x:v>0</x:v>
      </x:c>
      <x:c r="E10" s="23" t="inlineStr">
        <x:is>
          <x:t xml:space="preserve">selesai tepat waktu dan tetap teliti</x:t>
        </x:is>
      </x:c>
      <x:c r="F10" s="23" t="inlineStr">
        <x:is>
          <x:t xml:space="preserve"/>
        </x:is>
      </x:c>
    </x:row>
    <x:row r="11" ht="22" customHeight="1">
      <x:c r="A11" s="18" t="inlineStr">
        <x:is>
          <x:t xml:space="preserve">Total Module A</x:t>
        </x:is>
      </x:c>
      <x:c r="B11" s="19">
        <x:f>SUM(B5:B10)</x:f>
        <x:v>100</x:v>
      </x:c>
      <x:c r="D11" s="19">
        <x:f>SUM(D5:D10)</x:f>
        <x:v>0</x:v>
      </x:c>
      <x:c r="E11" s="19" t="str">
        <x:f>IF(D11&gt;=Beranda!$B$9,"Siap","Perlu drill")</x:f>
        <x:v>Perlu drill</x:v>
      </x:c>
    </x:row>
    <x:row r="12" ht="22" customHeight="1"/>
    <x:row r="13" ht="22" customHeight="1">
      <x:c r="A13" s="36" t="inlineStr">
        <x:is>
          <x:t xml:space="preserve">Rubrik Module B dan C | Jeopardy + Writeup</x:t>
        </x:is>
      </x:c>
      <x:c r="B13" s="33" t="n"/>
      <x:c r="C13" s="33" t="n"/>
      <x:c r="D13" s="33" t="n"/>
      <x:c r="E13" s="33" t="n"/>
      <x:c r="F13" s="33" t="n"/>
      <x:c r="G13" s="33" t="n"/>
      <x:c r="H13" s="33" t="n"/>
    </x:row>
    <x:row r="14" ht="22" customHeight="1">
      <x:c r="A14" s="7" t="inlineStr">
        <x:is>
          <x:t xml:space="preserve">Aspek</x:t>
        </x:is>
      </x:c>
      <x:c r="B14" s="7" t="inlineStr">
        <x:is>
          <x:t xml:space="preserve">Bobot</x:t>
        </x:is>
      </x:c>
      <x:c r="C14" s="7" t="inlineStr">
        <x:is>
          <x:t xml:space="preserve">Skor 1-4</x:t>
        </x:is>
      </x:c>
      <x:c r="D14" s="7" t="inlineStr">
        <x:is>
          <x:t xml:space="preserve">Nilai bobot</x:t>
        </x:is>
      </x:c>
      <x:c r="E14" s="7" t="inlineStr">
        <x:is>
          <x:t xml:space="preserve">Indikator ringkas</x:t>
        </x:is>
      </x:c>
      <x:c r="F14" s="7" t="inlineStr">
        <x:is>
          <x:t xml:space="preserve">Keterangan</x:t>
        </x:is>
      </x:c>
    </x:row>
    <x:row r="15" ht="22" customHeight="1">
      <x:c r="A15" s="26" t="inlineStr">
        <x:is>
          <x:t xml:space="preserve">Klasifikasi tipe soal</x:t>
        </x:is>
      </x:c>
      <x:c r="B15" s="12" t="n">
        <x:v>15</x:v>
      </x:c>
      <x:c r="C15" s="30" t="inlineStr">
        <x:is>
          <x:t xml:space="preserve"/>
        </x:is>
      </x:c>
      <x:c r="D15" s="12">
        <x:f>B15*C15/4</x:f>
        <x:v>0</x:v>
      </x:c>
      <x:c r="E15" s="23" t="inlineStr">
        <x:is>
          <x:t xml:space="preserve">bisa menentukan kategori dan arah awal</x:t>
        </x:is>
      </x:c>
      <x:c r="F15" s="23" t="inlineStr">
        <x:is>
          <x:t xml:space="preserve"/>
        </x:is>
      </x:c>
    </x:row>
    <x:row r="16" ht="22" customHeight="1">
      <x:c r="A16" s="26" t="inlineStr">
        <x:is>
          <x:t xml:space="preserve">Hipotesis dan eksperimen</x:t>
        </x:is>
      </x:c>
      <x:c r="B16" s="12" t="n">
        <x:v>20</x:v>
      </x:c>
      <x:c r="C16" s="30" t="inlineStr">
        <x:is>
          <x:t xml:space="preserve"/>
        </x:is>
      </x:c>
      <x:c r="D16" s="12">
        <x:f>B16*C16/4</x:f>
        <x:v>0</x:v>
      </x:c>
      <x:c r="E16" s="23" t="inlineStr">
        <x:is>
          <x:t xml:space="preserve">uji kecil, tidak acak</x:t>
        </x:is>
      </x:c>
      <x:c r="F16" s="23" t="inlineStr">
        <x:is>
          <x:t xml:space="preserve"/>
        </x:is>
      </x:c>
    </x:row>
    <x:row r="17" ht="22" customHeight="1">
      <x:c r="A17" s="26" t="inlineStr">
        <x:is>
          <x:t xml:space="preserve">Pemilihan tool</x:t>
        </x:is>
      </x:c>
      <x:c r="B17" s="12" t="n">
        <x:v>15</x:v>
      </x:c>
      <x:c r="C17" s="30" t="inlineStr">
        <x:is>
          <x:t xml:space="preserve"/>
        </x:is>
      </x:c>
      <x:c r="D17" s="12">
        <x:f>B17*C17/4</x:f>
        <x:v>0</x:v>
      </x:c>
      <x:c r="E17" s="23" t="inlineStr">
        <x:is>
          <x:t xml:space="preserve">tool tepat untuk artefak dan objective</x:t>
        </x:is>
      </x:c>
      <x:c r="F17" s="23" t="inlineStr">
        <x:is>
          <x:t xml:space="preserve"/>
        </x:is>
      </x:c>
    </x:row>
    <x:row r="18" ht="22" customHeight="1">
      <x:c r="A18" s="26" t="inlineStr">
        <x:is>
          <x:t xml:space="preserve">Kualitas bukti</x:t>
        </x:is>
      </x:c>
      <x:c r="B18" s="12" t="n">
        <x:v>20</x:v>
      </x:c>
      <x:c r="C18" s="30" t="inlineStr">
        <x:is>
          <x:t xml:space="preserve"/>
        </x:is>
      </x:c>
      <x:c r="D18" s="12">
        <x:f>B18*C18/4</x:f>
        <x:v>0</x:v>
      </x:c>
      <x:c r="E18" s="23" t="inlineStr">
        <x:is>
          <x:t xml:space="preserve">ada output, log, screenshot, atau alasan yang cukup</x:t>
        </x:is>
      </x:c>
      <x:c r="F18" s="23" t="inlineStr">
        <x:is>
          <x:t xml:space="preserve"/>
        </x:is>
      </x:c>
    </x:row>
    <x:row r="19" ht="22" customHeight="1">
      <x:c r="A19" s="26" t="inlineStr">
        <x:is>
          <x:t xml:space="preserve">Writeup dan narasi</x:t>
        </x:is>
      </x:c>
      <x:c r="B19" s="12" t="n">
        <x:v>20</x:v>
      </x:c>
      <x:c r="C19" s="30" t="inlineStr">
        <x:is>
          <x:t xml:space="preserve"/>
        </x:is>
      </x:c>
      <x:c r="D19" s="12">
        <x:f>B19*C19/4</x:f>
        <x:v>0</x:v>
      </x:c>
      <x:c r="E19" s="23" t="inlineStr">
        <x:is>
          <x:t xml:space="preserve">alur runtut, jelas, bisa diajarkan ulang</x:t>
        </x:is>
      </x:c>
      <x:c r="F19" s="23" t="inlineStr">
        <x:is>
          <x:t xml:space="preserve"/>
        </x:is>
      </x:c>
    </x:row>
    <x:row r="20" ht="22" customHeight="1">
      <x:c r="A20" s="26" t="inlineStr">
        <x:is>
          <x:t xml:space="preserve">Manajemen waktu dan kerja tim</x:t>
        </x:is>
      </x:c>
      <x:c r="B20" s="12" t="n">
        <x:v>10</x:v>
      </x:c>
      <x:c r="C20" s="30" t="inlineStr">
        <x:is>
          <x:t xml:space="preserve"/>
        </x:is>
      </x:c>
      <x:c r="D20" s="12">
        <x:f>B20*C20/4</x:f>
        <x:v>0</x:v>
      </x:c>
      <x:c r="E20" s="23" t="inlineStr">
        <x:is>
          <x:t xml:space="preserve">prioritas soal dan pembagian peran baik</x:t>
        </x:is>
      </x:c>
      <x:c r="F20" s="23" t="inlineStr">
        <x:is>
          <x:t xml:space="preserve"/>
        </x:is>
      </x:c>
    </x:row>
    <x:row r="21" ht="22" customHeight="1">
      <x:c r="A21" s="18" t="inlineStr">
        <x:is>
          <x:t xml:space="preserve">Total B/C</x:t>
        </x:is>
      </x:c>
      <x:c r="B21" s="19">
        <x:f>SUM(B15:B20)</x:f>
        <x:v>100</x:v>
      </x:c>
      <x:c r="D21" s="19">
        <x:f>SUM(D15:D20)</x:f>
        <x:v>0</x:v>
      </x:c>
      <x:c r="E21" s="19" t="str">
        <x:f>IF(D21&gt;=Beranda!$B$9,"Siap","Perlu drill")</x:f>
        <x:v>Perlu drill</x:v>
      </x:c>
    </x:row>
  </x:sheetData>
  <x:mergeCells>
    <x:mergeCell ref="A3:H3"/>
    <x:mergeCell ref="A13:H13"/>
    <x:mergeCell ref="A1:H1"/>
  </x:mergeCells>
  <x:conditionalFormatting sqref="D11:D21">
    <x:cfRule type="colorScale" priority="1">
      <x:colorScale>
        <x:cfvo type="num" val="0"/>
        <x:cfvo type="num" val="70"/>
        <x:cfvo type="num" val="100"/>
        <x:color rgb="00F8696B"/>
        <x:color rgb="00FFEB84"/>
        <x:color rgb="0063BE7B"/>
      </x:colorScale>
    </x:cfRule>
  </x:conditionalFormatting>
  <x:pageMargins left="0.7" right="0.7" top="0.75" bottom="0.75" header="0.3" footer="0.3"/>
  <x:legacyDrawing xmlns:r="http://schemas.openxmlformats.org/officeDocument/2006/relationships" r:id="Re19402161c30473c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28" customWidth="1"/>
    <x:col min="3" max="3" width="40" customWidth="1"/>
    <x:col min="4" max="4" width="28" customWidth="1"/>
    <x:col min="5" max="5" width="24" customWidth="1"/>
  </x:cols>
  <x:sheetData>
    <x:row r="1" ht="26" customHeight="1">
      <x:c r="A1" s="36" t="inlineStr">
        <x:is>
          <x:t xml:space="preserve">Sumber dan Rujukan Penyusunan Modul</x:t>
        </x:is>
      </x:c>
      <x:c r="B1" s="33" t="n"/>
      <x:c r="C1" s="33" t="n"/>
      <x:c r="D1" s="33" t="n"/>
      <x:c r="E1" s="33" t="n"/>
    </x:row>
    <x:row r="2" ht="22" customHeight="1"/>
    <x:row r="3" ht="22" customHeight="1">
      <x:c r="A3" s="7" t="inlineStr">
        <x:is>
          <x:t xml:space="preserve">ID</x:t>
        </x:is>
      </x:c>
      <x:c r="B3" s="7" t="inlineStr">
        <x:is>
          <x:t xml:space="preserve">Sumber</x:t>
        </x:is>
      </x:c>
      <x:c r="C3" s="7" t="inlineStr">
        <x:is>
          <x:t xml:space="preserve">URL / file</x:t>
        </x:is>
      </x:c>
      <x:c r="D3" s="7" t="inlineStr">
        <x:is>
          <x:t xml:space="preserve">Digunakan untuk</x:t>
        </x:is>
      </x:c>
      <x:c r="E3" s="7" t="inlineStr">
        <x:is>
          <x:t xml:space="preserve">Catatan</x:t>
        </x:is>
      </x:c>
    </x:row>
    <x:row r="4" ht="22" customHeight="1">
      <x:c r="A4" s="32" t="n">
        <x:v>1</x:v>
      </x:c>
      <x:c r="B4" s="17" t="inlineStr">
        <x:is>
          <x:t xml:space="preserve">Repository resmi LKS Jawa Tengah 2025</x:t>
        </x:is>
      </x:c>
      <x:c r="C4" s="23" t="inlineStr">
        <x:is>
          <x:t xml:space="preserve">https://github.com/LKS-ID/2025-LKSP-Jawa-Tengah-Public</x:t>
        </x:is>
      </x:c>
      <x:c r="D4" s="23" t="inlineStr">
        <x:is>
          <x:t xml:space="preserve">contoh kategori challenge, mapping latihan B dan C</x:t>
        </x:is>
      </x:c>
      <x:c r="E4" s="23" t="inlineStr">
        <x:is>
          <x:t xml:space="preserve">dipakai untuk contoh red team dan blue team easy sampai medium</x:t>
        </x:is>
      </x:c>
    </x:row>
    <x:row r="5" ht="22" customHeight="1">
      <x:c r="A5" s="32" t="n">
        <x:v>2</x:v>
      </x:c>
      <x:c r="B5" s="17" t="inlineStr">
        <x:is>
          <x:t xml:space="preserve">TM Jateng - LKS Cyber Security 2026.pptx</x:t>
        </x:is>
      </x:c>
      <x:c r="C5" s="23" t="inlineStr">
        <x:is>
          <x:t xml:space="preserve">uploaded file in conversation</x:t>
        </x:is>
      </x:c>
      <x:c r="D5" s="23" t="inlineStr">
        <x:is>
          <x:t xml:space="preserve">struktur modul A-B-C, jadwal, bobot, dan aturan lomba</x:t>
        </x:is>
      </x:c>
      <x:c r="E5" s="23" t="inlineStr">
        <x:is>
          <x:t xml:space="preserve">dipakai untuk penyelarasan target 2026</x:t>
        </x:is>
      </x:c>
    </x:row>
    <x:row r="6" ht="22" customHeight="1">
      <x:c r="A6" s="32" t="n">
        <x:v>3</x:v>
      </x:c>
      <x:c r="B6" s="17" t="inlineStr">
        <x:is>
          <x:t xml:space="preserve">Contoh Soal Linux Hardening.docx</x:t>
        </x:is>
      </x:c>
      <x:c r="C6" s="23" t="inlineStr">
        <x:is>
          <x:t xml:space="preserve">uploaded file in conversation</x:t>
        </x:is>
      </x:c>
      <x:c r="D6" s="23" t="inlineStr">
        <x:is>
          <x:t xml:space="preserve">objective dummy practice untuk Module A</x:t>
        </x:is>
      </x:c>
      <x:c r="E6" s="23" t="inlineStr">
        <x:is>
          <x:t xml:space="preserve">dipakai untuk checklist SSH, Samba, NGINX, password policy, firewall</x:t>
        </x:is>
      </x:c>
    </x:row>
    <x:row r="7" ht="22" customHeight="1">
      <x:c r="A7" s="32" t="n">
        <x:v>4</x:v>
      </x:c>
      <x:c r="B7" s="17" t="inlineStr">
        <x:is>
          <x:t xml:space="preserve">modul_ajar_lksp_jateng_2025.md</x:t>
        </x:is>
      </x:c>
      <x:c r="C7" s="23" t="inlineStr">
        <x:is>
          <x:t xml:space="preserve">uploaded file in conversation</x:t>
        </x:is>
      </x:c>
      <x:c r="D7" s="23" t="inlineStr">
        <x:is>
          <x:t xml:space="preserve">detil kategori challenge dan tools yang relevan</x:t>
        </x:is>
      </x:c>
      <x:c r="E7" s="23" t="inlineStr">
        <x:is>
          <x:t xml:space="preserve">dipakai untuk detail konten B dan C</x:t>
        </x:is>
      </x:c>
    </x:row>
    <x:row r="8" ht="22" customHeight="1">
      <x:c r="A8" s="32" t="n">
        <x:v>5</x:v>
      </x:c>
      <x:c r="B8" s="17" t="inlineStr">
        <x:is>
          <x:t xml:space="preserve">https://ctftime.org</x:t>
        </x:is>
      </x:c>
      <x:c r="C8" s="23" t="inlineStr">
        <x:is>
          <x:t xml:space="preserve">https://ctftime.org</x:t>
        </x:is>
      </x:c>
      <x:c r="D8" s="23" t="inlineStr">
        <x:is>
          <x:t xml:space="preserve">latihan dan budaya writeup</x:t>
        </x:is>
      </x:c>
      <x:c r="E8" s="23" t="inlineStr">
        <x:is>
          <x:t xml:space="preserve">rujukan tambahan</x:t>
        </x:is>
      </x:c>
    </x:row>
    <x:row r="9" ht="22" customHeight="1">
      <x:c r="A9" s="32" t="n">
        <x:v>6</x:v>
      </x:c>
      <x:c r="B9" s="17" t="inlineStr">
        <x:is>
          <x:t xml:space="preserve">https://picoctf.org</x:t>
        </x:is>
      </x:c>
      <x:c r="C9" s="23" t="inlineStr">
        <x:is>
          <x:t xml:space="preserve">https://picoctf.org</x:t>
        </x:is>
      </x:c>
      <x:c r="D9" s="23" t="inlineStr">
        <x:is>
          <x:t xml:space="preserve">latihan easy untuk pemula</x:t>
        </x:is>
      </x:c>
      <x:c r="E9" s="23" t="inlineStr">
        <x:is>
          <x:t xml:space="preserve">rujukan tambahan</x:t>
        </x:is>
      </x:c>
    </x:row>
    <x:row r="10" ht="22" customHeight="1">
      <x:c r="A10" s="32" t="n">
        <x:v>7</x:v>
      </x:c>
      <x:c r="B10" s="17" t="inlineStr">
        <x:is>
          <x:t xml:space="preserve">https://pwn.college</x:t>
        </x:is>
      </x:c>
      <x:c r="C10" s="23" t="inlineStr">
        <x:is>
          <x:t xml:space="preserve">https://pwn.college</x:t>
        </x:is>
      </x:c>
      <x:c r="D10" s="23" t="inlineStr">
        <x:is>
          <x:t xml:space="preserve">latihan binary exploitation</x:t>
        </x:is>
      </x:c>
      <x:c r="E10" s="23" t="inlineStr">
        <x:is>
          <x:t xml:space="preserve">rujukan tambahan</x:t>
        </x:is>
      </x:c>
    </x:row>
    <x:row r="11" ht="22" customHeight="1">
      <x:c r="A11" s="32" t="n">
        <x:v>8</x:v>
      </x:c>
      <x:c r="B11" s="17" t="inlineStr">
        <x:is>
          <x:t xml:space="preserve">https://owasp.org</x:t>
        </x:is>
      </x:c>
      <x:c r="C11" s="23" t="inlineStr">
        <x:is>
          <x:t xml:space="preserve">https://owasp.org</x:t>
        </x:is>
      </x:c>
      <x:c r="D11" s="23" t="inlineStr">
        <x:is>
          <x:t xml:space="preserve">referensi web security</x:t>
        </x:is>
      </x:c>
      <x:c r="E11" s="23" t="inlineStr">
        <x:is>
          <x:t xml:space="preserve">rujukan tambahan</x:t>
        </x:is>
      </x:c>
    </x:row>
    <x:row r="12" ht="22" customHeight="1">
      <x:c r="A12" s="32" t="n">
        <x:v>9</x:v>
      </x:c>
      <x:c r="B12" s="17" t="inlineStr">
        <x:is>
          <x:t xml:space="preserve">https://hackthebox.com</x:t>
        </x:is>
      </x:c>
      <x:c r="C12" s="23" t="inlineStr">
        <x:is>
          <x:t xml:space="preserve">https://hackthebox.com</x:t>
        </x:is>
      </x:c>
      <x:c r="D12" s="23" t="inlineStr">
        <x:is>
          <x:t xml:space="preserve">opsional pengayaan lab</x:t>
        </x:is>
      </x:c>
      <x:c r="E12" s="23" t="inlineStr">
        <x:is>
          <x:t xml:space="preserve">rujukan tambahan</x:t>
        </x:is>
      </x:c>
    </x:row>
  </x:sheetData>
  <x:mergeCells>
    <x:mergeCell ref="A1:E1"/>
  </x:mergeCells>
  <x:pageMargins left="0.7" right="0.7" top="0.75" bottom="0.75" header="0.3" footer="0.3"/>
</x:worksheet>
</file>